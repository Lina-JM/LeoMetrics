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yoam1002\Desktop\"/>
    </mc:Choice>
  </mc:AlternateContent>
  <xr:revisionPtr revIDLastSave="0" documentId="8_{0F3F106B-F327-4378-A7F4-5C01913E86E8}" xr6:coauthVersionLast="47" xr6:coauthVersionMax="47" xr10:uidLastSave="{00000000-0000-0000-0000-000000000000}"/>
  <bookViews>
    <workbookView xWindow="-120" yWindow="-120" windowWidth="29040" windowHeight="15840" xr2:uid="{00000000-000D-0000-FFFF-FFFF00000000}"/>
  </bookViews>
  <sheets>
    <sheet name="Summary" sheetId="4" r:id="rId1"/>
    <sheet name="History" sheetId="2" r:id="rId2"/>
    <sheet name="Data" sheetId="6" r:id="rId3"/>
    <sheet name="Information" sheetId="5" r:id="rId4"/>
    <sheet name="Corrective Actions" sheetId="7" r:id="rId5"/>
  </sheets>
  <definedNames>
    <definedName name="_xlnm._FilterDatabase" localSheetId="2" hidden="1">Data!$A$1:$AC$13</definedName>
    <definedName name="_xlnm._FilterDatabase" localSheetId="3" hidden="1">Information!$A$4:$G$11</definedName>
    <definedName name="_xlnm.Print_Area" localSheetId="0">Summary!$C$3:$T$94</definedName>
  </definedNames>
  <calcPr calcId="191028"/>
</workbook>
</file>

<file path=xl/calcChain.xml><?xml version="1.0" encoding="utf-8"?>
<calcChain xmlns="http://schemas.openxmlformats.org/spreadsheetml/2006/main">
  <c r="E56" i="2" l="1"/>
  <c r="G8" i="4" s="1" a="1"/>
  <c r="G8" i="4" s="1"/>
  <c r="E55" i="2" l="1"/>
  <c r="E54" i="2"/>
  <c r="E53" i="2" l="1"/>
  <c r="E52" i="2"/>
  <c r="E51" i="2"/>
  <c r="E50" i="2"/>
  <c r="E49" i="2"/>
  <c r="E48" i="2"/>
  <c r="E47" i="2"/>
  <c r="E46" i="2"/>
  <c r="E45" i="2"/>
  <c r="E44" i="2"/>
  <c r="E43" i="2"/>
  <c r="E42" i="2"/>
  <c r="B21" i="5" l="1"/>
  <c r="D81" i="2" l="1"/>
  <c r="D80" i="2"/>
  <c r="D79" i="2"/>
  <c r="D78" i="2"/>
  <c r="D77" i="2"/>
  <c r="D76" i="2"/>
  <c r="D75" i="2"/>
  <c r="D74" i="2"/>
  <c r="D73" i="2"/>
  <c r="D72" i="2"/>
  <c r="D71" i="2"/>
  <c r="D70" i="2"/>
  <c r="D69" i="2"/>
  <c r="D68" i="2"/>
  <c r="D67" i="2"/>
  <c r="D66" i="2"/>
  <c r="D82" i="2"/>
  <c r="D65" i="2" l="1"/>
  <c r="E65" i="2" s="1"/>
  <c r="F65" i="2" s="1"/>
  <c r="E66" i="2"/>
  <c r="E67" i="2"/>
  <c r="E81" i="2" l="1"/>
  <c r="F81" i="2" s="1"/>
  <c r="E79" i="2"/>
  <c r="F79" i="2" s="1"/>
  <c r="E78" i="2"/>
  <c r="F78" i="2" s="1"/>
  <c r="E77" i="2"/>
  <c r="F77" i="2" s="1"/>
  <c r="E76" i="2"/>
  <c r="F76" i="2" s="1"/>
  <c r="E74" i="2"/>
  <c r="F74" i="2" s="1"/>
  <c r="E73" i="2"/>
  <c r="F73" i="2" s="1"/>
  <c r="E72" i="2"/>
  <c r="F72" i="2" s="1"/>
  <c r="E71" i="2"/>
  <c r="F71" i="2" s="1"/>
  <c r="E70" i="2"/>
  <c r="E68" i="2"/>
  <c r="F67" i="2"/>
  <c r="F66" i="2"/>
  <c r="E80" i="2"/>
  <c r="F80" i="2" s="1"/>
  <c r="E75" i="2" l="1"/>
  <c r="F75" i="2" s="1"/>
  <c r="E82" i="2"/>
  <c r="F82" i="2" s="1"/>
  <c r="E69" i="2"/>
  <c r="F69" i="2" s="1"/>
  <c r="F68" i="2"/>
  <c r="F7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<sst xmlns="http://schemas.openxmlformats.org/spreadsheetml/2006/main" count="720" uniqueCount="449">
  <si>
    <t xml:space="preserve"> KPI Definition</t>
  </si>
  <si>
    <t>Comments/ Hints for KPI Owners:</t>
  </si>
  <si>
    <t>KPI ID</t>
  </si>
  <si>
    <t>5.8.01</t>
  </si>
  <si>
    <t>KPI Name</t>
  </si>
  <si>
    <t>Number of Major Incidents</t>
  </si>
  <si>
    <t>KPI Owner</t>
  </si>
  <si>
    <t>Tarek Ben Hnia</t>
  </si>
  <si>
    <r>
      <t xml:space="preserve">- KPI ID/ KPI Name/ KPI Dimension are filled by IT Cost Management
- All further values need to be filled by KPI Owner, who is defined by Process Owner
-  In case of questions/ ambiguities regarding any values / information requested in the KPI Definition section refer to IT Cost Management
</t>
    </r>
    <r>
      <rPr>
        <sz val="11"/>
        <color rgb="FFFF0000"/>
        <rFont val="Arial"/>
        <family val="2"/>
      </rPr>
      <t>- KPI Definition including the KPI Target Value can be adjusted if reasonable. Adjustment proposal incl. explanation to be requested by KPI Owner and addressed to IT Cost Management. Proposal will be discussed and approved/ denied by Balance Scorecard Board.</t>
    </r>
  </si>
  <si>
    <t>Current KPI Value</t>
  </si>
  <si>
    <t>Target KPI</t>
  </si>
  <si>
    <r>
      <rPr>
        <b/>
        <sz val="11"/>
        <color theme="1"/>
        <rFont val="Calibri"/>
        <family val="2"/>
      </rPr>
      <t>≤</t>
    </r>
    <r>
      <rPr>
        <b/>
        <sz val="11"/>
        <color theme="1"/>
        <rFont val="Arial"/>
        <family val="2"/>
      </rPr>
      <t xml:space="preserve"> 7</t>
    </r>
  </si>
  <si>
    <t>KPI Dimension</t>
  </si>
  <si>
    <t>Customer</t>
  </si>
  <si>
    <t>KPI Description</t>
  </si>
  <si>
    <t>KPI Objectives</t>
  </si>
  <si>
    <t xml:space="preserve">Support 1.1. &amp; 1.2 Strategic Goals
</t>
  </si>
  <si>
    <t>main purpose(s) of the KPI</t>
  </si>
  <si>
    <t>KPI reference date</t>
  </si>
  <si>
    <t>- All KPIs are to be reported monthly -</t>
  </si>
  <si>
    <t>KPI Drivers</t>
  </si>
  <si>
    <t xml:space="preserve"> - Proper handover to operations
 - Clear responsibilities
 - Process conformance
 - adequate resource allocation/ technical operational service</t>
  </si>
  <si>
    <t>Exact day of KPI evaluation. Format: dd.mm.yyyy. e.g. 6th day of each month.</t>
  </si>
  <si>
    <t>main factors of influence for the KPI</t>
  </si>
  <si>
    <t>Describe within the KPI description or under Further remarks earliest possible evaluation date and if the KPI is updated and can be evaluated after this date within the same reporting month.</t>
  </si>
  <si>
    <t>KPI calculation logic</t>
  </si>
  <si>
    <t>Data Source/ 
Data Owner</t>
  </si>
  <si>
    <t>ITSM Tool, currently ServiceNow 
Data Owner: Incident Manager</t>
  </si>
  <si>
    <t>KPI Target Value</t>
  </si>
  <si>
    <t>KPI recipients outside of BSC?</t>
  </si>
  <si>
    <t>not defined yet</t>
  </si>
  <si>
    <t>Explanation of used/ relevant definitions</t>
  </si>
  <si>
    <r>
      <t xml:space="preserve">Major incident and other definitions will be reviewed and if needed (re) </t>
    </r>
    <r>
      <rPr>
        <sz val="11"/>
        <rFont val="Arial"/>
        <family val="2"/>
      </rPr>
      <t>defined within FIT program.
Current definition within  (ServiceNow) is based on following criteria: 
Request type is Incident AND
Priority is Critical AND
Major Incident state = Accepted</t>
    </r>
  </si>
  <si>
    <t>Further remarks</t>
  </si>
  <si>
    <t>Earliest possible KPI evaluation after month end</t>
  </si>
  <si>
    <t>chart is created by IT Cost Management</t>
  </si>
  <si>
    <t xml:space="preserve"> KPI Comments &amp; Actions</t>
  </si>
  <si>
    <t>KPI Owner Status Comment</t>
  </si>
  <si>
    <t>Corrective Actions</t>
  </si>
  <si>
    <r>
      <t>- KPI Owner comments monthly, according to the reporting due date, the current KPI Status
- KPI Owner names the main reasons for KPI Target deviations in the section "Root Cause"
-  In the section Open actions KPI Owner suggests corrective actions to improve KPI performance/ to achieve KPI Target
- Suggested corrective actions including Responsible person will be approved/ redefined/ determined by Balance Scorecard Board
- Progress of approved corrective actions will be tracked monthly: Open actions remain in the section open actions, current status to be provided to IT Cost Management. Actions, which are closed between last- and current BSC reporting to be moved to the section Closed actions. All previously closed actions will be removed from BSC for current reporting month. History to be tracked by IT Cost Management (each report will be archived)
-</t>
    </r>
    <r>
      <rPr>
        <sz val="11"/>
        <color rgb="FFFF0000"/>
        <rFont val="Arial"/>
        <family val="2"/>
      </rPr>
      <t xml:space="preserve"> KPI Definition including the KPI Target Value can be adjusted if reasonable, see above.</t>
    </r>
  </si>
  <si>
    <t>Open actions:</t>
  </si>
  <si>
    <t>Root Cause #</t>
  </si>
  <si>
    <t>Due Date</t>
  </si>
  <si>
    <t>Responsible</t>
  </si>
  <si>
    <t>#1:</t>
  </si>
  <si>
    <t>Ilyess Lagha</t>
  </si>
  <si>
    <t>#2:</t>
  </si>
  <si>
    <t>All applied actions are detailed into the Problem PRB0040146</t>
  </si>
  <si>
    <t>#1</t>
  </si>
  <si>
    <t>Anders Dicker</t>
  </si>
  <si>
    <t>#3:</t>
  </si>
  <si>
    <t>Root Cause</t>
  </si>
  <si>
    <t># 1:</t>
  </si>
  <si>
    <t>Closed actions:</t>
  </si>
  <si>
    <t>Closure Date</t>
  </si>
  <si>
    <t># 2:</t>
  </si>
  <si>
    <t xml:space="preserve">Roll back to old connection between TN3 &amp; TN4 was in place. This issue will be solved permenantly when the SDWAN migration will be in place in TN3 </t>
  </si>
  <si>
    <t>#2</t>
  </si>
  <si>
    <t>Amel Ben Hassine</t>
  </si>
  <si>
    <t># 3:</t>
  </si>
  <si>
    <t>Corrective action must be work in the PRB0040153: 
Fix was applied and the problem was closed.</t>
  </si>
  <si>
    <t>#3</t>
  </si>
  <si>
    <t># 4:</t>
  </si>
  <si>
    <t>Solution: new image has beeen uploades and tested. CHG0039968</t>
  </si>
  <si>
    <t>#5</t>
  </si>
  <si>
    <t xml:space="preserve">Santiago Montoya </t>
  </si>
  <si>
    <t># 5:</t>
  </si>
  <si>
    <t>#4:</t>
  </si>
  <si>
    <t>CHG0039486 has been raised to fix the incident</t>
  </si>
  <si>
    <t>#7</t>
  </si>
  <si>
    <t># 6:</t>
  </si>
  <si>
    <t>#5:</t>
  </si>
  <si>
    <t>PRB0040118: problem still in root cause analysis Issue solved by workarround</t>
  </si>
  <si>
    <t>A. Azouz</t>
  </si>
  <si>
    <t># 7:</t>
  </si>
  <si>
    <t>#6:</t>
  </si>
  <si>
    <t>Provide guideness regarding Problem Management and incident management processes</t>
  </si>
  <si>
    <t>I.Aguir</t>
  </si>
  <si>
    <t>#7:</t>
  </si>
  <si>
    <t>Quantity of IT Major Incidents</t>
  </si>
  <si>
    <t>Actual on Target</t>
  </si>
  <si>
    <t>Actual over of Target</t>
  </si>
  <si>
    <t>Comments for KPI Target adjustments</t>
  </si>
  <si>
    <t>Number</t>
  </si>
  <si>
    <t>State</t>
  </si>
  <si>
    <t>Priority</t>
  </si>
  <si>
    <t>Affected Service</t>
  </si>
  <si>
    <t>Parent</t>
  </si>
  <si>
    <t>Service Owner</t>
  </si>
  <si>
    <t>Service classification</t>
  </si>
  <si>
    <t>Location</t>
  </si>
  <si>
    <t>Caller</t>
  </si>
  <si>
    <t>Description</t>
  </si>
  <si>
    <t>Short description</t>
  </si>
  <si>
    <t>Opened</t>
  </si>
  <si>
    <t>Resolution code</t>
  </si>
  <si>
    <t>Resolution notes</t>
  </si>
  <si>
    <t>Responsible user</t>
  </si>
  <si>
    <t>Responsible group</t>
  </si>
  <si>
    <t>Resolved</t>
  </si>
  <si>
    <t>Duration</t>
  </si>
  <si>
    <t>1 - Critical</t>
  </si>
  <si>
    <t>Service Module</t>
  </si>
  <si>
    <t>Solved (Work Around)</t>
  </si>
  <si>
    <t>Network &amp; Connectivity</t>
  </si>
  <si>
    <t>Service Component</t>
  </si>
  <si>
    <t>Solved (Permanently)</t>
  </si>
  <si>
    <t>2nd - Network &amp; Connectivity</t>
  </si>
  <si>
    <t>LEONI - IT Operations - IT Service Delivery</t>
  </si>
  <si>
    <t>Business Service</t>
  </si>
  <si>
    <t>Major Incidents</t>
  </si>
  <si>
    <t>Frequency</t>
  </si>
  <si>
    <t>Related To Process</t>
  </si>
  <si>
    <t>Corrective Actions (with Due Date &amp; Responsible)</t>
  </si>
  <si>
    <t>Comments (if available)</t>
  </si>
  <si>
    <t>3 - Regularly</t>
  </si>
  <si>
    <t>4 - Problem Management</t>
  </si>
  <si>
    <t>2 - Periodically</t>
  </si>
  <si>
    <t>1 - Incident Management</t>
  </si>
  <si>
    <t>4 - Constantly</t>
  </si>
  <si>
    <t>1 - Rarely</t>
  </si>
  <si>
    <t>2 - Change Management</t>
  </si>
  <si>
    <t>Total</t>
  </si>
  <si>
    <t>Frequency Scale</t>
  </si>
  <si>
    <t>Report in KPI</t>
  </si>
  <si>
    <t>No</t>
  </si>
  <si>
    <t>Yes</t>
  </si>
  <si>
    <t>3 - Event Management</t>
  </si>
  <si>
    <t>5 - Continuity Management</t>
  </si>
  <si>
    <t>Updates</t>
  </si>
  <si>
    <t>Action closure reportered in</t>
  </si>
  <si>
    <t>Change Request has been created for the equipment replacement CHG0038972. Switch replacement was successfully done.</t>
  </si>
  <si>
    <t>Oct21 - #4</t>
  </si>
  <si>
    <t xml:space="preserve">S. Montoya </t>
  </si>
  <si>
    <t>Rebuild the Storage device without damaged disks, restore data and production environment from backups.</t>
  </si>
  <si>
    <t>Nov21 - #10</t>
  </si>
  <si>
    <t>A.Steelman</t>
  </si>
  <si>
    <t>Problem with entering Internet Access (WebAccess)( CHG0039207)</t>
  </si>
  <si>
    <t>Nov21 - #3</t>
  </si>
  <si>
    <t>B.Besslein</t>
  </si>
  <si>
    <t>Configuration awareness provided to the users to avoid the missconfiguration of the system</t>
  </si>
  <si>
    <t>Nov21 - #2</t>
  </si>
  <si>
    <t>S.Pietsch</t>
  </si>
  <si>
    <t>Collaborate with involved stakeholders during Change Management process.</t>
  </si>
  <si>
    <t>S.Sawluk</t>
  </si>
  <si>
    <t>Nov21 - #5</t>
  </si>
  <si>
    <t>B. Meier</t>
  </si>
  <si>
    <t>Provide guideness to users about It Incident and Change Management</t>
  </si>
  <si>
    <t>Nov21 - #6</t>
  </si>
  <si>
    <t>#8:</t>
  </si>
  <si>
    <t>Followup meeting is scheduled to continue working on the 5W analysis with different parts</t>
  </si>
  <si>
    <t>Nov21 - #9</t>
  </si>
  <si>
    <t>M. Ben Khaled</t>
  </si>
  <si>
    <t>#9:</t>
  </si>
  <si>
    <t>Additional ONTAP upgrade on all clustered LEONI NetApp systems due to annoying bugs and CVE-2021-27001  (CHG0038953)</t>
  </si>
  <si>
    <t>A.Dicker</t>
  </si>
  <si>
    <t>#10:</t>
  </si>
  <si>
    <t>CAB meetings should be schedule by Service to inform, discuss and approve the changes to avoid failures and impact on the business</t>
  </si>
  <si>
    <t>Sep21 - #5</t>
  </si>
  <si>
    <t>T. Ben Hnia</t>
  </si>
  <si>
    <t>Feb-22</t>
  </si>
  <si>
    <t>Jan22#2</t>
  </si>
  <si>
    <t>Jan22#2 
Jan22#5</t>
  </si>
  <si>
    <t>Backups rerouted to another backup device.</t>
  </si>
  <si>
    <t xml:space="preserve">VMs have been migrated to EXPY1001 in order to reboot EXPY1002, after reboot SQL01 turned on </t>
  </si>
  <si>
    <t>Andreas Zierott</t>
  </si>
  <si>
    <t>Ricardo Rico Montano</t>
  </si>
  <si>
    <t>Andreas Thanner</t>
  </si>
  <si>
    <t>Stefan Sawluk</t>
  </si>
  <si>
    <t>Network &amp; Server Infra</t>
  </si>
  <si>
    <t>&lt; 30 Days</t>
  </si>
  <si>
    <t>Modern Workplace</t>
  </si>
  <si>
    <t>Correction of new rule implemented</t>
  </si>
  <si>
    <t>Pending updates were installed on both servers</t>
  </si>
  <si>
    <t>Changed our design and replaced this product by a NAT gateway between the outside interface of our firewalls and the internet</t>
  </si>
  <si>
    <t>#11:</t>
  </si>
  <si>
    <t>#12:</t>
  </si>
  <si>
    <t>#13:</t>
  </si>
  <si>
    <t>#14:</t>
  </si>
  <si>
    <t>#15:</t>
  </si>
  <si>
    <t>#16:</t>
  </si>
  <si>
    <t>Apr22 #3</t>
  </si>
  <si>
    <t>Apr22 #4</t>
  </si>
  <si>
    <t>Workarround: Network has been restored,
Permenant Solution: Firmware upgraded from 9.1.8 to latest recommended release 9.1.13-h3 ( PRB0040251)</t>
  </si>
  <si>
    <t>Apr22 #6</t>
  </si>
  <si>
    <t>Apr22#1</t>
  </si>
  <si>
    <t>#17:</t>
  </si>
  <si>
    <t>#18:</t>
  </si>
  <si>
    <t>#19:</t>
  </si>
  <si>
    <t>#20:</t>
  </si>
  <si>
    <t>Configuration item</t>
  </si>
  <si>
    <t>Reopen count</t>
  </si>
  <si>
    <t>Aging Group</t>
  </si>
  <si>
    <t>Business duration</t>
  </si>
  <si>
    <t>Problem</t>
  </si>
  <si>
    <t>SLA</t>
  </si>
  <si>
    <t>Location Division</t>
  </si>
  <si>
    <t>Leo Profile 1 SLA</t>
  </si>
  <si>
    <t>WSD</t>
  </si>
  <si>
    <t>Rollout of Greylog for all VMs</t>
  </si>
  <si>
    <t>All applied actions are detailed into the Problem PRB0040264-PRB0040265</t>
  </si>
  <si>
    <t>All applied actions are detailed into the Problem PRB0040232</t>
  </si>
  <si>
    <t>Apr22#4</t>
  </si>
  <si>
    <t>Problem opened PRB0040306 for incident INC0095335</t>
  </si>
  <si>
    <t>June22#3</t>
  </si>
  <si>
    <t>May22#2</t>
  </si>
  <si>
    <t>May22#1</t>
  </si>
  <si>
    <t>May22#4</t>
  </si>
  <si>
    <t>Ismail Jafaar</t>
  </si>
  <si>
    <t>May22#5</t>
  </si>
  <si>
    <t>Migrate all sites to SDWAN</t>
  </si>
  <si>
    <t>Change faulty drive and perform driver update.</t>
  </si>
  <si>
    <t>Schedule</t>
  </si>
  <si>
    <t>Parent Incident</t>
  </si>
  <si>
    <t>Leo On-Call Support (Mon-Sun 0:00-24:00 CET)</t>
  </si>
  <si>
    <t>Leo Default Support Hours (Mon-Fri 8:00-17:00 CET)</t>
  </si>
  <si>
    <t>Christoph Schuerr</t>
  </si>
  <si>
    <t>Data Center</t>
  </si>
  <si>
    <t>Armin Loehr</t>
  </si>
  <si>
    <t>June22#2</t>
  </si>
  <si>
    <t>June22#4</t>
  </si>
  <si>
    <t>Carve out migration</t>
  </si>
  <si>
    <t>June22#1</t>
  </si>
  <si>
    <t>Removal of some old logs file on this partition and we extend the partition</t>
  </si>
  <si>
    <t>Mohamed Zaag</t>
  </si>
  <si>
    <t>Align with Change Management process &amp; regulations</t>
  </si>
  <si>
    <t>Check redundancy due did not worked - PRB0040154</t>
  </si>
  <si>
    <t>Angel Lopez</t>
  </si>
  <si>
    <t>IT Services by Service Catalog 2.0</t>
  </si>
  <si>
    <t>Supply Chain Management (SCM)</t>
  </si>
  <si>
    <t>Manufacturing Execution (MES)</t>
  </si>
  <si>
    <t>Product Lifecycle Management (PLM)</t>
  </si>
  <si>
    <t>Customer Relationship Management (CRM)</t>
  </si>
  <si>
    <t>Business Intelligence (BI)</t>
  </si>
  <si>
    <t>Finance &amp; Controlling (FICO)</t>
  </si>
  <si>
    <t>Human Resources (HR)</t>
  </si>
  <si>
    <t>Overarching Governance</t>
  </si>
  <si>
    <t>Data Distribution &amp; Archive</t>
  </si>
  <si>
    <t>Intelligent Process Automation</t>
  </si>
  <si>
    <t>Other supported Applications</t>
  </si>
  <si>
    <t>IT for IT</t>
  </si>
  <si>
    <t>End User Support</t>
  </si>
  <si>
    <t>WCS Services</t>
  </si>
  <si>
    <t>Supply Chain Management</t>
  </si>
  <si>
    <t>Manufacturing Execution</t>
  </si>
  <si>
    <t>Product Lifecycle Management</t>
  </si>
  <si>
    <t>Customer Relationship Management</t>
  </si>
  <si>
    <t>Business Intelligence</t>
  </si>
  <si>
    <t>Finance &amp; Controlling</t>
  </si>
  <si>
    <t>Human Resources</t>
  </si>
  <si>
    <t>Service Request</t>
  </si>
  <si>
    <t>Riadh Trabelsi</t>
  </si>
  <si>
    <t>Moving to our new Layer3 Design (incl. SD-WAN and DIA). - CHG0042024</t>
  </si>
  <si>
    <t>Aug22#2</t>
  </si>
  <si>
    <t>Corrective action have to be followed by PRB0040450</t>
  </si>
  <si>
    <t>Corrective action have to be followed by PRB0040444</t>
  </si>
  <si>
    <t>Corrective action have to be followed by PRB0040382</t>
  </si>
  <si>
    <t>Corrective action have to be followed by PRB0040436</t>
  </si>
  <si>
    <t>Corrective action have to be followed by PRB0040423</t>
  </si>
  <si>
    <t>Anwar Ben Fredj</t>
  </si>
  <si>
    <t>Ilyes Lagha</t>
  </si>
  <si>
    <t/>
  </si>
  <si>
    <t>Analysis and review of local VSAN sizes/architecture planned for december 22. Recommendations are discussed directly with site and service owner</t>
  </si>
  <si>
    <t>Escalate the line availability to the providers</t>
  </si>
  <si>
    <t>Sep22#4</t>
  </si>
  <si>
    <t>Sep22#5</t>
  </si>
  <si>
    <t>Sep22#1</t>
  </si>
  <si>
    <t>Sep22#2</t>
  </si>
  <si>
    <t>Sep22#3</t>
  </si>
  <si>
    <t>B.Meier</t>
  </si>
  <si>
    <t>M.Gniza</t>
  </si>
  <si>
    <t>Check the correct backup power installed in the phisical equipments</t>
  </si>
  <si>
    <t>Analyze the risk of changes in production instances and plan maintainance windows</t>
  </si>
  <si>
    <t>Oct#3</t>
  </si>
  <si>
    <t>Analyze the data between the old machines and the new machines and try to roll back the active ones.</t>
  </si>
  <si>
    <t>T. Ben Hnia/S.Goertz</t>
  </si>
  <si>
    <t>July22#1,2,4&amp;5 +
Aug22#1</t>
  </si>
  <si>
    <t>Jul22#2</t>
  </si>
  <si>
    <t>#4</t>
  </si>
  <si>
    <t>#6</t>
  </si>
  <si>
    <t>#8</t>
  </si>
  <si>
    <t>#9</t>
  </si>
  <si>
    <t>Oct22#1</t>
  </si>
  <si>
    <t>Total number of major IT incidents per calendar month ≤ 7</t>
  </si>
  <si>
    <t>3rd - Network &amp; Connectivity</t>
  </si>
  <si>
    <t>Power and ISP outages are causing service interruption in Network &amp; Connectivity, no continuity/redundancy working properly</t>
  </si>
  <si>
    <t>#10</t>
  </si>
  <si>
    <t>#11</t>
  </si>
  <si>
    <t>#12</t>
  </si>
  <si>
    <t>Nov22#2</t>
  </si>
  <si>
    <t>Make sure all configuration and services are working in a proper way after a planned maintenance</t>
  </si>
  <si>
    <t>Dec22#3</t>
  </si>
  <si>
    <t>M.Ben-Khaled</t>
  </si>
  <si>
    <t>Actual KPI LTM</t>
  </si>
  <si>
    <t>User accidentally executed jobs which resulted in performance drop.</t>
  </si>
  <si>
    <t>Power outage caused by UPS damaged</t>
  </si>
  <si>
    <t>Informing the user to take care for the future updates in the data specially for big range of part numbers</t>
  </si>
  <si>
    <t>03.08: Due date postonement 30.07  =&gt; 31.12.2022
15.02.23: Due date 31.12 =&gt; 31.03.23</t>
  </si>
  <si>
    <t>Closed in November, misunderstanding between IoS and Luis</t>
  </si>
  <si>
    <t>Current Month</t>
  </si>
  <si>
    <r>
      <rPr>
        <b/>
        <sz val="11"/>
        <color theme="0"/>
        <rFont val="Calibri"/>
        <family val="2"/>
      </rPr>
      <t xml:space="preserve">Ø </t>
    </r>
    <r>
      <rPr>
        <b/>
        <sz val="11"/>
        <color theme="0"/>
        <rFont val="Calibri"/>
        <family val="2"/>
        <scheme val="minor"/>
      </rPr>
      <t>Last 12 months</t>
    </r>
  </si>
  <si>
    <t>Current month</t>
  </si>
  <si>
    <r>
      <rPr>
        <sz val="11"/>
        <color rgb="FF006600"/>
        <rFont val="Arial"/>
        <family val="2"/>
      </rPr>
      <t>Starting from 01/23:  KPI=The average number of major IT incidents occurred monthly over last 12 calendar months.
Monthly evaluation: Total number of major IT incidents occurred within last calendar month.
Before 01/23: KPI=</t>
    </r>
    <r>
      <rPr>
        <sz val="11"/>
        <color theme="1"/>
        <rFont val="Arial"/>
        <family val="2"/>
      </rPr>
      <t>Total number of major IT incidents occurred within last calendar month.
Incidents are identified automatically based on defined criteria, see below.</t>
    </r>
  </si>
  <si>
    <r>
      <rPr>
        <sz val="11"/>
        <color rgb="FF006600"/>
        <rFont val="Arial"/>
        <family val="2"/>
      </rPr>
      <t xml:space="preserve">Starting from 01/23: KPI=The average number of major IT incidents occurred monthly over the last 12 calendar months. 
Before 01/23: </t>
    </r>
    <r>
      <rPr>
        <sz val="11"/>
        <color theme="1"/>
        <rFont val="Arial"/>
        <family val="2"/>
      </rPr>
      <t>Total number of major IT incidents occurred within last calendar month</t>
    </r>
  </si>
  <si>
    <t>Root Cause description</t>
  </si>
  <si>
    <t>Old processes denies job run properly</t>
  </si>
  <si>
    <t>Jan23#3</t>
  </si>
  <si>
    <t>LDAP server “LEO Computer import T2-Leoni“ configured on Leoni changed the status field to Retired, so all the information was updated on ServiceNow. Then “LEO Computer Import from AD” created new records (“it can’t find records with the same name has the computers stored on it”)</t>
  </si>
  <si>
    <t>Device = vuhv1sapfi01-B connected in UCS-FI-6332-16UP was looping the network causing network issue. VM cluster migration was done during German time. Related to change CHG0039744/ RITM0239106</t>
  </si>
  <si>
    <t>A bug in this model of routers. This caused that rtnrzvpn01 and rthv1vpn01 lost default route from swgblwan01 that shares via EIGRP</t>
  </si>
  <si>
    <t>The real root-cause cannot be analysed any more as the important logs were already rotated.
The nearest cause to the incident that is clearly visible is, that the connection to the datastore was lost and thus the server was shutdown.</t>
  </si>
  <si>
    <t>Data Center &amp; Cloud Network</t>
  </si>
  <si>
    <t>Benjamin Meier</t>
  </si>
  <si>
    <t>VMware</t>
  </si>
  <si>
    <t>Site Server</t>
  </si>
  <si>
    <t>Jan23#1</t>
  </si>
  <si>
    <t>Change Manager - K.Shkromyda</t>
  </si>
  <si>
    <t>01.09.2022 Change CHG0041597 still in Scheduled state
01.10.2022 Change CHG0041597 still in Scheduled state
11.01.2022 Change CHG0041597 still in Scheduled state
12.01.2022 Change CHG0041597 still in Scheduled state
01.01.2023 Change CHG0041597 still in Scheduled state
01.02.2023 Change CHG0041597 still in Scheduled state
03.07.2023 Change CHG0041597 still in Scheduled state</t>
  </si>
  <si>
    <t>01.11.2022 Change CHG0042024  in "New" state
01.01.2023 Change CHG0042024  in "New" state
01.02.2023 Change CHG0042024  in "New" state
03.07.2023 Change CHG0042024  in "New" state</t>
  </si>
  <si>
    <t>01.12.2022 Change PRB0040444 still in Assess state
01.01.2023 Change PRB0040444 still in RCA state
03.07.2023 PRB0040444 in Root Cause Analysis</t>
  </si>
  <si>
    <t>13.01.23 Same Correvtive Action as in Oct, due date 31.12.=&gt; 31.01.23
15.02.23 Same corrective Action as in Oct&amp;Dev
03.07.2023 Same incident occurring in the actual month</t>
  </si>
  <si>
    <t>Check the correct backup power installed in the phisical equipments (Local IT checked the sites and did the corrective actions)</t>
  </si>
  <si>
    <t>03.07.2023 Change Proccess Alingment must be in place</t>
  </si>
  <si>
    <t>Server</t>
  </si>
  <si>
    <t>Plant &amp; Office Network (LAN)</t>
  </si>
  <si>
    <t>2nd - Virtualisation - On Call</t>
  </si>
  <si>
    <t>EDI (Axway, Seeburger, SFX)</t>
  </si>
  <si>
    <t>Support Applications</t>
  </si>
  <si>
    <t>Thomas Grieser</t>
  </si>
  <si>
    <t>2nd - EDI</t>
  </si>
  <si>
    <t>CHUHA</t>
  </si>
  <si>
    <t>Zoltan Tobias</t>
  </si>
  <si>
    <t>WCS - BG AM</t>
  </si>
  <si>
    <t>&gt; 30 &amp; &lt; 60 Days</t>
  </si>
  <si>
    <t>PRB0040670</t>
  </si>
  <si>
    <t>Physical equipment’s were affected due faulty disk or misconfigurations</t>
  </si>
  <si>
    <t xml:space="preserve">Issues caused by change request </t>
  </si>
  <si>
    <t>Problem in Progress</t>
  </si>
  <si>
    <t>Check in daily basis events sent from our monitoring systems</t>
  </si>
  <si>
    <t>Oct22#2 &amp; Dec22#2 &amp;
Jan23#2
Feb23#2</t>
  </si>
  <si>
    <t>Issues caused by Changes request</t>
  </si>
  <si>
    <t>INC0122254</t>
  </si>
  <si>
    <t>WRSPR</t>
  </si>
  <si>
    <t>Non functioning access to internet for all end users (WRSPR)
Thanks in advance
Ivan</t>
  </si>
  <si>
    <t>Non functioning access to internet for all end users (WRSPR)</t>
  </si>
  <si>
    <t>One of our central user-id firewalls vuhv1pauid03 did not work correctly. The firewall did also no failover. After manual failover to vunrzpauid03 everything worked again. Monitoring for the User-ID connection is also not configured in PRTG. We opened also  a ticket to Palo to verify the root cause. Problem ticket will be created.</t>
  </si>
  <si>
    <t>3rd - Network &amp; Connectivity Security</t>
  </si>
  <si>
    <t>Benjamin Besslein</t>
  </si>
  <si>
    <t>Ivan Radosavljevic</t>
  </si>
  <si>
    <t>PRB0040711</t>
  </si>
  <si>
    <t>INC0122703</t>
  </si>
  <si>
    <t>Dear Colleagues,
Since 5 pm the connection between plant LKH Hungary and the corporate network is broken. Locally everything seems to be ok, internet provider didn’t report any issue.
Could you please check and fix the problem? It’s urgent as the plant’s work is impacted seriously by this issue!
Thank you in advance and looking forward to your soon response!
Zoltan Tobias</t>
  </si>
  <si>
    <t>No connection to the center</t>
  </si>
  <si>
    <t>Reboot the Palo Alto 2 because was the only devices that was not reporting communication.
After that all service came up and communication was reestablished.</t>
  </si>
  <si>
    <t>Roberto Hugo Santiago Dominguez</t>
  </si>
  <si>
    <t>INC0122776</t>
  </si>
  <si>
    <t>CDEFZ</t>
  </si>
  <si>
    <t>we are not able to reach any services outside (v center ....)</t>
  </si>
  <si>
    <t>Onsite in Roth:
Checked the Backbone and Aggregation Switches. On BB the Port-Channel to the Aggregation was missing. No configuration. Added Po12 and configured the Interface 1/2 on both switches.
VLAN 997 and 998 was missing on AGG01 and AGG02. Added VLANs.
Configuration is saved.
Network recovered.</t>
  </si>
  <si>
    <t>Oliver Ludwig</t>
  </si>
  <si>
    <t>INC0122852</t>
  </si>
  <si>
    <t>Closed</t>
  </si>
  <si>
    <t>Visual Logistics: SD</t>
  </si>
  <si>
    <t>Visual</t>
  </si>
  <si>
    <t>Juan Francisco Rosas Corbala</t>
  </si>
  <si>
    <t>WMXHE</t>
  </si>
  <si>
    <t>Visual ERP is not available / costing task may still be running... 
Please help us to solve this.
Thank you</t>
  </si>
  <si>
    <t>Visual is not Available - EDI Transmission with customers is not possible</t>
  </si>
  <si>
    <t xml:space="preserve">root cause:Weekly Visual jobs (MRP and Cost Rollup) were running at the same time, causing a database deadlock.
solution: running mrp manual.
and next steps: costing will be running on sunday
</t>
  </si>
  <si>
    <t>3rd - Local Apps Americas</t>
  </si>
  <si>
    <t>Jose Elias Valenzuela Valenzuela</t>
  </si>
  <si>
    <t>Arturo Beltran Alcaide</t>
  </si>
  <si>
    <t>INC0123075</t>
  </si>
  <si>
    <t>Palo Alto Firewall</t>
  </si>
  <si>
    <t>Network &amp; Connectivity Security - DC</t>
  </si>
  <si>
    <t>WROAR</t>
  </si>
  <si>
    <t xml:space="preserve">Hello,
RO8 it`s down, please check. 
 </t>
  </si>
  <si>
    <t>Hello, RO8 it`s down, please check.</t>
  </si>
  <si>
    <t>vuro8pa01 is suspended.
further troubleshooting could be found in PRB0040670</t>
  </si>
  <si>
    <t>2nd - Network &amp; Connectivity Security</t>
  </si>
  <si>
    <t>Riheb Chabbah</t>
  </si>
  <si>
    <t>Carmen Mirela Brata</t>
  </si>
  <si>
    <t>INC0123161</t>
  </si>
  <si>
    <t xml:space="preserve">Hello Colleagues,
Can you please check the network between LEONI to SAP systems allocated in the Cloud HEC. All users cannot connect to any SAP application hosted in the Cloud.
For on-premise SAP System the connections is working well.
I.E 
Hostname: vhleop01cs.hec.leoni.local
I tried to ping with no success:
C:\Users\rufe5003&gt;ping vhleop01cs.hec.leoni.local
Pinging vhleop01cs.fra3.hec.leoni.local [10.217.12.229] with 32 bytes of data:
Request timed out.
Request timed out.
Request timed out.
Request timed out.
Ping statistics for 10.217.12.229:
    Packets: Sent = 4, Received = 0, Lost = 4 (100% loss),
C:\Users\rufe5003&gt;
Attached error message
</t>
  </si>
  <si>
    <t xml:space="preserve">There is no connection to any SAP systems hosted on the HEC </t>
  </si>
  <si>
    <t xml:space="preserve">While working on a CHG0045243 to reroute Client VPN connections within EMEA we experienced that some of our Site 2 Tunnels (including them used for the connection described in this incident) were in an half-open state. We were forced to re-initiate those tunnels and can confirm that connecticity is given again. </t>
  </si>
  <si>
    <t>Felipe Rueda Gutierrez</t>
  </si>
  <si>
    <t>INC0123290</t>
  </si>
  <si>
    <t>WMXME</t>
  </si>
  <si>
    <t>Demand from CAT cannot be processed into SAP WP1 or Visual, cumulative qty is showing empty</t>
  </si>
  <si>
    <t>Demand from CAT cannot be processed into SAP WP1 or Visual</t>
  </si>
  <si>
    <t>SAP WP1 &amp; Visual are currently in normal operational state, all record were reprocessed correctly.</t>
  </si>
  <si>
    <t>Adam Hogin</t>
  </si>
  <si>
    <t>Juan Antonio Moreno Cobos</t>
  </si>
  <si>
    <t>INC0123688</t>
  </si>
  <si>
    <t>CCNCA</t>
  </si>
  <si>
    <t xml:space="preserve">Hello Colleagues
In CNA , from 04:07 2023/04/19 up to now, all labels can't be printed out from OMS server , this cause our production business disturbed , pls solve it a.s.a.p! 
 </t>
  </si>
  <si>
    <t>Hello Colleagues  In CNA , from 04:07 2023/04/19 up to now, all labels can't be printed out from OMS server , this cause our production business disturbed , pls</t>
  </si>
  <si>
    <t>Incident has been solved, root cause will be follow under the problem number:PRB0040727</t>
  </si>
  <si>
    <t>Felix Shen</t>
  </si>
  <si>
    <t>PRB0040727</t>
  </si>
  <si>
    <t>INC0123808</t>
  </si>
  <si>
    <t>Linux / Unix</t>
  </si>
  <si>
    <t>HDENM</t>
  </si>
  <si>
    <t xml:space="preserve">Hello,
since yesterday from 11pm the SFTP connection to sapfsp.leoni.local no longer works.
Therefore, all interfaces with the SFTP from the SAP PO (PP3) no longer work.
Regards,
Truong 
 </t>
  </si>
  <si>
    <t>Hello,    since yesterday from 11pm the SFTP connection to sapfsp.leoni.local no longer works.  Therefore, all interfaces with the SFTP from the SAP PO (PP3) no</t>
  </si>
  <si>
    <t>The HEC Fileserver sapfsp.leoni.local has been rebooted.
Root cause analysis is still ongoing.</t>
  </si>
  <si>
    <t>3rd - LINUX/UNIX Server</t>
  </si>
  <si>
    <t>Anh Truong Hoang</t>
  </si>
  <si>
    <t>PRB0040730</t>
  </si>
  <si>
    <t>Holding</t>
  </si>
  <si>
    <t>INC0124069</t>
  </si>
  <si>
    <t>SAP GTS: System Administration</t>
  </si>
  <si>
    <t>SAP GTS</t>
  </si>
  <si>
    <t>Daniel Maurer</t>
  </si>
  <si>
    <t>Dear All,
Our colleague from the logistic area noticed a problem in connection with GTP-GTS system. 
They cannot take out materials from the storage. Can you check it please?
Thanks for your support,
Mátyás Mizser
LKH LEONI Kft.</t>
  </si>
  <si>
    <t>GTP - GTS not available</t>
  </si>
  <si>
    <t>In agreement with Mrs. Tigges, I request to restart the whole System GTP (application and Tenant Database) in SAP Ticket: "11255 / 2023 GTPLEO || system is down".
Checks in the systems already sent below by Mrs. Tigges.
At this moment the caller confirm they can take out materials from the storage.
For detailed information I attached the SAP Ticket, we are still waiting for the RCA from SAP ECS.</t>
  </si>
  <si>
    <t>3rd - SAP GTS</t>
  </si>
  <si>
    <t>Jutta Tigges</t>
  </si>
  <si>
    <t>Matyas Mizser</t>
  </si>
  <si>
    <t>PRB0040732</t>
  </si>
  <si>
    <t>INC0124644</t>
  </si>
  <si>
    <t>CMXCU</t>
  </si>
  <si>
    <t>I attach the image of the error when trying to start the server svmx1file01</t>
  </si>
  <si>
    <t>svmx1file01 after a reboot the server does not find the ip</t>
  </si>
  <si>
    <t>Still investigating why server restarted automatically. Problem PRB0040735 has been created to follow up. Full VM has been restored.</t>
  </si>
  <si>
    <t>2nd - Virtualization</t>
  </si>
  <si>
    <t>Marco Hernandez</t>
  </si>
  <si>
    <t>PRB0040735</t>
  </si>
  <si>
    <t>INC0124722</t>
  </si>
  <si>
    <t>WCNJN</t>
  </si>
  <si>
    <t>hello
our host excnjvpc03 now can't start and meet an error.
can you pls help us to check this issue asap.
thank you very much.</t>
  </si>
  <si>
    <t>excnjvpc03 can't start and meet an error</t>
  </si>
  <si>
    <t xml:space="preserve">due to Kernel error so the esxi is coorupted.
- excnjvpc03 esxi is restored with same configuration setup
-add to vsan cluster
-add to Dswitch
-check cnj-hybrid datstore health
-check vsna cluster health
best regards,
ilyes
</t>
  </si>
  <si>
    <t>Yuan Xu</t>
  </si>
  <si>
    <t>Firewall malfunction leading complete site interruptions</t>
  </si>
  <si>
    <t>Patches wronly applied</t>
  </si>
  <si>
    <t>Power outage</t>
  </si>
  <si>
    <t>Monitor power batteries are working properly</t>
  </si>
  <si>
    <t>Issue caused by misconfiguration on back bones</t>
  </si>
  <si>
    <t>Check with Service Owner for corrective actions</t>
  </si>
  <si>
    <t>Issue caused due to the fact the customer sent decimal in the CUM QTY and LAST QTY REC fields</t>
  </si>
  <si>
    <t>Weekly Visual jobs (MRP and Cost Rollup) were running at the same time, causing a database deadlock.</t>
  </si>
  <si>
    <t>System availability was affected due to unexpected host reboot on the database host server at Azure (SAP HEC)</t>
  </si>
  <si>
    <t>Mar23#2</t>
  </si>
  <si>
    <t>Align with Problem Management process &amp; regulations</t>
  </si>
  <si>
    <t>Problem Manager - L.Moroyoqui</t>
  </si>
  <si>
    <t>Major Incidents this month are impacting the Data Center, we continue Firewall issues leading complete site disruptions. Incidents caused by Problems, we should continue align best practices of Problem Management Process and act to before incidents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</si>
</sst>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hh:mm:ss"/>
    <numFmt numFmtId="165" formatCode="[$-409]mmm\-yy;@"/>
    <numFmt numFmtId="166" formatCode="[$-409]mmmm\ yyyy;@"/>
    <numFmt numFmtId="167" formatCode="[$-407]mmm/\ yy;@"/>
    <numFmt numFmtId="168" formatCode="0.0"/>
  </numFmts>
  <fonts count="41" x14ac:knownFonts="1">
    <font>
      <sz val="11"/>
      <color indexed="8"/>
      <name val="Calibri"/>
      <family val="2"/>
      <scheme val="minor"/>
    </font>
    <font>
      <b/>
      <sz val="11"/>
      <color theme="0"/>
      <name val="Calibri"/>
      <family val="2"/>
      <scheme val="minor"/>
    </font>
    <font>
      <b/>
      <sz val="12"/>
      <name val="Calibri"/>
      <family val="2"/>
      <scheme val="minor"/>
    </font>
    <font>
      <b/>
      <sz val="11"/>
      <name val="Calibri"/>
      <family val="2"/>
      <scheme val="minor"/>
    </font>
    <font>
      <sz val="12"/>
      <name val="Calibri"/>
      <family val="2"/>
      <scheme val="minor"/>
    </font>
    <font>
      <b/>
      <sz val="11"/>
      <color indexed="8"/>
      <name val="Calibri"/>
      <family val="2"/>
      <scheme val="minor"/>
    </font>
    <font>
      <sz val="12"/>
      <color indexed="8"/>
      <name val="Calibri"/>
      <family val="2"/>
      <scheme val="minor"/>
    </font>
    <font>
      <sz val="12"/>
      <color theme="1"/>
      <name val="Arial"/>
      <family val="2"/>
    </font>
    <font>
      <sz val="11"/>
      <color theme="1"/>
      <name val="Arial"/>
      <family val="2"/>
    </font>
    <font>
      <b/>
      <sz val="14"/>
      <color theme="1"/>
      <name val="Arial"/>
      <family val="2"/>
    </font>
    <font>
      <b/>
      <sz val="18"/>
      <color theme="1"/>
      <name val="Arial"/>
      <family val="2"/>
    </font>
    <font>
      <b/>
      <sz val="20"/>
      <color theme="1"/>
      <name val="Arial"/>
      <family val="2"/>
    </font>
    <font>
      <b/>
      <sz val="11"/>
      <color theme="1"/>
      <name val="Arial"/>
      <family val="2"/>
    </font>
    <font>
      <b/>
      <sz val="12"/>
      <color theme="1"/>
      <name val="Arial"/>
      <family val="2"/>
    </font>
    <font>
      <b/>
      <u/>
      <sz val="11"/>
      <color theme="1"/>
      <name val="Arial"/>
      <family val="2"/>
    </font>
    <font>
      <sz val="14"/>
      <color theme="1"/>
      <name val="Arial"/>
      <family val="2"/>
    </font>
    <font>
      <sz val="11"/>
      <color rgb="FFFF0000"/>
      <name val="Arial"/>
      <family val="2"/>
    </font>
    <font>
      <b/>
      <sz val="11"/>
      <color theme="1"/>
      <name val="Calibri"/>
      <family val="2"/>
    </font>
    <font>
      <i/>
      <sz val="10"/>
      <color theme="0" tint="-0.34998626667073579"/>
      <name val="Arial"/>
      <family val="2"/>
    </font>
    <font>
      <b/>
      <i/>
      <sz val="10"/>
      <color theme="1"/>
      <name val="Arial"/>
      <family val="2"/>
    </font>
    <font>
      <i/>
      <sz val="10"/>
      <color theme="1"/>
      <name val="Arial"/>
      <family val="2"/>
    </font>
    <font>
      <sz val="11"/>
      <color theme="0" tint="-0.34998626667073579"/>
      <name val="Arial"/>
      <family val="2"/>
    </font>
    <font>
      <sz val="11"/>
      <name val="Arial"/>
      <family val="2"/>
    </font>
    <font>
      <b/>
      <u/>
      <sz val="11"/>
      <color theme="0"/>
      <name val="Arial"/>
      <family val="2"/>
    </font>
    <font>
      <b/>
      <sz val="11"/>
      <color theme="0"/>
      <name val="Arial"/>
      <family val="2"/>
    </font>
    <font>
      <b/>
      <u/>
      <sz val="11"/>
      <name val="Arial"/>
      <family val="2"/>
    </font>
    <font>
      <b/>
      <sz val="11"/>
      <name val="Arial"/>
      <family val="2"/>
    </font>
    <font>
      <b/>
      <sz val="20"/>
      <color theme="0"/>
      <name val="Calibri"/>
      <family val="2"/>
      <scheme val="minor"/>
    </font>
    <font>
      <b/>
      <sz val="14"/>
      <color theme="0"/>
      <name val="Calibri"/>
      <family val="2"/>
      <scheme val="minor"/>
    </font>
    <font>
      <sz val="10"/>
      <color theme="1"/>
      <name val="Arial"/>
      <family val="2"/>
    </font>
    <font>
      <sz val="8"/>
      <name val="Calibri"/>
      <family val="2"/>
      <scheme val="minor"/>
    </font>
    <font>
      <b/>
      <sz val="11"/>
      <color indexed="8"/>
      <name val="Arial"/>
      <family val="2"/>
    </font>
    <font>
      <sz val="11"/>
      <color indexed="8"/>
      <name val="Arial"/>
      <family val="2"/>
    </font>
    <font>
      <sz val="9"/>
      <color theme="1"/>
      <name val="Arial"/>
      <family val="2"/>
    </font>
    <font>
      <b/>
      <u/>
      <sz val="9"/>
      <color theme="1"/>
      <name val="Arial"/>
      <family val="2"/>
    </font>
    <font>
      <sz val="10"/>
      <name val="Arial"/>
      <family val="2"/>
    </font>
    <font>
      <sz val="11"/>
      <name val="Calibri"/>
      <family val="2"/>
      <scheme val="minor"/>
    </font>
    <font>
      <sz val="10"/>
      <name val="Calibri"/>
      <family val="2"/>
      <scheme val="minor"/>
    </font>
    <font>
      <sz val="11"/>
      <color rgb="FF006600"/>
      <name val="Arial"/>
      <family val="2"/>
    </font>
    <font>
      <b/>
      <sz val="11"/>
      <color theme="0"/>
      <name val="Calibri"/>
      <family val="2"/>
    </font>
    <font>
      <b/>
      <sz val="11"/>
      <name val="Calibri"/>
    </font>
  </fonts>
  <fills count="10">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1" tint="0.499984740745262"/>
        <bgColor indexed="64"/>
      </patternFill>
    </fill>
    <fill>
      <patternFill patternType="solid">
        <fgColor theme="6" tint="0.79998168889431442"/>
        <bgColor indexed="64"/>
      </patternFill>
    </fill>
  </fills>
  <borders count="1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indexed="64"/>
      </right>
      <top style="thin">
        <color theme="2" tint="-0.249977111117893"/>
      </top>
      <bottom style="thin">
        <color indexed="64"/>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indexed="64"/>
      </right>
      <top style="thin">
        <color indexed="64"/>
      </top>
      <bottom style="thin">
        <color theme="2" tint="-0.249977111117893"/>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top/>
      <bottom/>
      <diagonal/>
    </border>
    <border>
      <left/>
      <right style="thin">
        <color theme="2" tint="-0.249977111117893"/>
      </right>
      <top/>
      <bottom/>
      <diagonal/>
    </border>
    <border>
      <left style="thin">
        <color indexed="64"/>
      </left>
      <right style="thin">
        <color indexed="64"/>
      </right>
      <top style="thin">
        <color indexed="64"/>
      </top>
      <bottom/>
      <diagonal/>
    </border>
    <border>
      <left/>
      <right/>
      <top/>
      <bottom style="thin">
        <color theme="2" tint="-0.249977111117893"/>
      </bottom>
      <diagonal/>
    </border>
    <border>
      <left style="thin">
        <color theme="2" tint="-0.249977111117893"/>
      </left>
      <right style="hair">
        <color theme="2" tint="-0.249977111117893"/>
      </right>
      <top style="thin">
        <color theme="2" tint="-0.249977111117893"/>
      </top>
      <bottom style="hair">
        <color theme="2" tint="-0.249977111117893"/>
      </bottom>
      <diagonal/>
    </border>
    <border>
      <left style="hair">
        <color theme="2" tint="-0.249977111117893"/>
      </left>
      <right style="hair">
        <color theme="2" tint="-0.249977111117893"/>
      </right>
      <top style="thin">
        <color theme="2" tint="-0.249977111117893"/>
      </top>
      <bottom style="hair">
        <color theme="2" tint="-0.249977111117893"/>
      </bottom>
      <diagonal/>
    </border>
    <border>
      <left style="hair">
        <color theme="2" tint="-0.249977111117893"/>
      </left>
      <right style="thin">
        <color theme="2" tint="-0.249977111117893"/>
      </right>
      <top style="thin">
        <color theme="2" tint="-0.249977111117893"/>
      </top>
      <bottom style="hair">
        <color theme="2" tint="-0.249977111117893"/>
      </bottom>
      <diagonal/>
    </border>
    <border>
      <left style="thin">
        <color theme="2" tint="-0.249977111117893"/>
      </left>
      <right style="hair">
        <color theme="2" tint="-0.249977111117893"/>
      </right>
      <top style="hair">
        <color theme="2" tint="-0.249977111117893"/>
      </top>
      <bottom style="hair">
        <color theme="2" tint="-0.249977111117893"/>
      </bottom>
      <diagonal/>
    </border>
    <border>
      <left style="hair">
        <color theme="2" tint="-0.249977111117893"/>
      </left>
      <right style="hair">
        <color theme="2" tint="-0.249977111117893"/>
      </right>
      <top style="hair">
        <color theme="2" tint="-0.249977111117893"/>
      </top>
      <bottom style="hair">
        <color theme="2" tint="-0.249977111117893"/>
      </bottom>
      <diagonal/>
    </border>
    <border>
      <left style="hair">
        <color theme="2" tint="-0.249977111117893"/>
      </left>
      <right style="thin">
        <color theme="2" tint="-0.249977111117893"/>
      </right>
      <top style="hair">
        <color theme="2" tint="-0.249977111117893"/>
      </top>
      <bottom style="hair">
        <color theme="2" tint="-0.249977111117893"/>
      </bottom>
      <diagonal/>
    </border>
    <border>
      <left style="thin">
        <color theme="2" tint="-0.249977111117893"/>
      </left>
      <right style="hair">
        <color theme="2" tint="-0.249977111117893"/>
      </right>
      <top style="hair">
        <color theme="2" tint="-0.249977111117893"/>
      </top>
      <bottom style="thin">
        <color theme="2" tint="-0.249977111117893"/>
      </bottom>
      <diagonal/>
    </border>
    <border>
      <left style="hair">
        <color theme="2" tint="-0.249977111117893"/>
      </left>
      <right style="hair">
        <color theme="2" tint="-0.249977111117893"/>
      </right>
      <top style="hair">
        <color theme="2" tint="-0.249977111117893"/>
      </top>
      <bottom style="thin">
        <color theme="2" tint="-0.249977111117893"/>
      </bottom>
      <diagonal/>
    </border>
    <border>
      <left style="hair">
        <color theme="1" tint="0.34998626667073579"/>
      </left>
      <right/>
      <top style="hair">
        <color theme="1" tint="0.34998626667073579"/>
      </top>
      <bottom style="hair">
        <color theme="1" tint="0.34998626667073579"/>
      </bottom>
      <diagonal/>
    </border>
    <border>
      <left/>
      <right/>
      <top style="hair">
        <color theme="1" tint="0.34998626667073579"/>
      </top>
      <bottom style="hair">
        <color theme="1" tint="0.34998626667073579"/>
      </bottom>
      <diagonal/>
    </border>
    <border>
      <left/>
      <right style="hair">
        <color theme="1" tint="0.34998626667073579"/>
      </right>
      <top style="hair">
        <color theme="1" tint="0.34998626667073579"/>
      </top>
      <bottom style="hair">
        <color theme="1" tint="0.34998626667073579"/>
      </bottom>
      <diagonal/>
    </border>
    <border>
      <left style="hair">
        <color theme="1" tint="0.34998626667073579"/>
      </left>
      <right style="hair">
        <color theme="1" tint="0.34998626667073579"/>
      </right>
      <top style="hair">
        <color theme="1" tint="0.34998626667073579"/>
      </top>
      <bottom style="hair">
        <color theme="1" tint="0.34998626667073579"/>
      </bottom>
      <diagonal/>
    </border>
    <border>
      <left/>
      <right style="thin">
        <color theme="2" tint="-0.249977111117893"/>
      </right>
      <top style="hair">
        <color theme="1" tint="0.34998626667073579"/>
      </top>
      <bottom style="hair">
        <color theme="1" tint="0.34998626667073579"/>
      </bottom>
      <diagonal/>
    </border>
    <border>
      <left style="thin">
        <color theme="2" tint="-0.249977111117893"/>
      </left>
      <right style="hair">
        <color theme="1" tint="0.34998626667073579"/>
      </right>
      <top style="hair">
        <color theme="1" tint="0.34998626667073579"/>
      </top>
      <bottom style="hair">
        <color theme="1" tint="0.34998626667073579"/>
      </bottom>
      <diagonal/>
    </border>
    <border>
      <left style="thin">
        <color theme="2" tint="-0.249977111117893"/>
      </left>
      <right style="hair">
        <color theme="1" tint="0.34998626667073579"/>
      </right>
      <top/>
      <bottom style="hair">
        <color theme="1" tint="0.34998626667073579"/>
      </bottom>
      <diagonal/>
    </border>
    <border>
      <left style="hair">
        <color theme="1" tint="0.34998626667073579"/>
      </left>
      <right/>
      <top style="thin">
        <color theme="2" tint="-0.249977111117893"/>
      </top>
      <bottom style="hair">
        <color theme="1" tint="0.34998626667073579"/>
      </bottom>
      <diagonal/>
    </border>
    <border>
      <left/>
      <right/>
      <top style="thin">
        <color theme="2" tint="-0.249977111117893"/>
      </top>
      <bottom style="hair">
        <color theme="1" tint="0.34998626667073579"/>
      </bottom>
      <diagonal/>
    </border>
    <border>
      <left/>
      <right style="hair">
        <color theme="1" tint="0.34998626667073579"/>
      </right>
      <top style="thin">
        <color theme="2" tint="-0.249977111117893"/>
      </top>
      <bottom style="hair">
        <color theme="1" tint="0.34998626667073579"/>
      </bottom>
      <diagonal/>
    </border>
    <border>
      <left style="hair">
        <color theme="1" tint="0.34998626667073579"/>
      </left>
      <right style="hair">
        <color theme="1" tint="0.34998626667073579"/>
      </right>
      <top style="hair">
        <color theme="1" tint="0.34998626667073579"/>
      </top>
      <bottom/>
      <diagonal/>
    </border>
    <border>
      <left/>
      <right style="hair">
        <color theme="1" tint="0.34998626667073579"/>
      </right>
      <top/>
      <bottom/>
      <diagonal/>
    </border>
    <border>
      <left style="thin">
        <color theme="2" tint="-0.249977111117893"/>
      </left>
      <right/>
      <top style="hair">
        <color theme="1" tint="0.34998626667073579"/>
      </top>
      <bottom style="thin">
        <color theme="2" tint="-0.249977111117893"/>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theme="2" tint="-0.249977111117893"/>
      </left>
      <right/>
      <top/>
      <bottom style="thin">
        <color theme="2" tint="-0.249977111117893"/>
      </bottom>
      <diagonal/>
    </border>
    <border>
      <left style="hair">
        <color theme="2" tint="-0.249977111117893"/>
      </left>
      <right/>
      <top/>
      <bottom style="hair">
        <color theme="2" tint="-0.249977111117893"/>
      </bottom>
      <diagonal/>
    </border>
    <border>
      <left/>
      <right/>
      <top/>
      <bottom style="hair">
        <color theme="2" tint="-0.249977111117893"/>
      </bottom>
      <diagonal/>
    </border>
    <border>
      <left style="thin">
        <color theme="2" tint="-0.249977111117893"/>
      </left>
      <right style="hair">
        <color theme="2" tint="-0.249977111117893"/>
      </right>
      <top/>
      <bottom style="hair">
        <color theme="2" tint="-0.249977111117893"/>
      </bottom>
      <diagonal/>
    </border>
    <border>
      <left style="hair">
        <color theme="1" tint="0.34998626667073579"/>
      </left>
      <right/>
      <top style="hair">
        <color indexed="64"/>
      </top>
      <bottom style="thin">
        <color theme="2" tint="-0.249977111117893"/>
      </bottom>
      <diagonal/>
    </border>
    <border>
      <left/>
      <right/>
      <top style="hair">
        <color indexed="64"/>
      </top>
      <bottom style="thin">
        <color theme="2" tint="-0.249977111117893"/>
      </bottom>
      <diagonal/>
    </border>
    <border>
      <left/>
      <right style="hair">
        <color indexed="64"/>
      </right>
      <top style="hair">
        <color indexed="64"/>
      </top>
      <bottom style="thin">
        <color theme="2" tint="-0.249977111117893"/>
      </bottom>
      <diagonal/>
    </border>
    <border>
      <left style="hair">
        <color theme="1" tint="0.34998626667073579"/>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hair">
        <color indexed="64"/>
      </right>
      <top style="thin">
        <color theme="2" tint="-0.249977111117893"/>
      </top>
      <bottom style="thin">
        <color theme="2" tint="-0.249977111117893"/>
      </bottom>
      <diagonal/>
    </border>
    <border>
      <left/>
      <right style="hair">
        <color theme="1" tint="0.34998626667073579"/>
      </right>
      <top style="hair">
        <color indexed="64"/>
      </top>
      <bottom style="thin">
        <color theme="2" tint="-0.249977111117893"/>
      </bottom>
      <diagonal/>
    </border>
    <border>
      <left style="thin">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thin">
        <color theme="2" tint="-0.24994659260841701"/>
      </right>
      <top style="hair">
        <color theme="2" tint="-0.24994659260841701"/>
      </top>
      <bottom style="hair">
        <color theme="2" tint="-0.24994659260841701"/>
      </bottom>
      <diagonal/>
    </border>
    <border>
      <left style="thin">
        <color theme="2" tint="-0.24994659260841701"/>
      </left>
      <right style="hair">
        <color theme="2" tint="-0.24994659260841701"/>
      </right>
      <top style="hair">
        <color theme="2" tint="-0.24994659260841701"/>
      </top>
      <bottom style="thin">
        <color theme="2" tint="-0.24994659260841701"/>
      </bottom>
      <diagonal/>
    </border>
    <border>
      <left style="hair">
        <color theme="2" tint="-0.24994659260841701"/>
      </left>
      <right style="hair">
        <color theme="2" tint="-0.24994659260841701"/>
      </right>
      <top style="hair">
        <color theme="2" tint="-0.24994659260841701"/>
      </top>
      <bottom style="thin">
        <color theme="2" tint="-0.24994659260841701"/>
      </bottom>
      <diagonal/>
    </border>
    <border>
      <left style="hair">
        <color theme="2" tint="-0.24994659260841701"/>
      </left>
      <right style="thin">
        <color theme="2" tint="-0.24994659260841701"/>
      </right>
      <top style="hair">
        <color theme="2" tint="-0.24994659260841701"/>
      </top>
      <bottom style="thin">
        <color theme="2" tint="-0.24994659260841701"/>
      </bottom>
      <diagonal/>
    </border>
    <border>
      <left style="hair">
        <color theme="2" tint="-0.249977111117893"/>
      </left>
      <right style="thin">
        <color theme="2" tint="-0.249977111117893"/>
      </right>
      <top style="hair">
        <color theme="2" tint="-0.249977111117893"/>
      </top>
      <bottom/>
      <diagonal/>
    </border>
    <border>
      <left style="hair">
        <color theme="2" tint="-0.249977111117893"/>
      </left>
      <right style="hair">
        <color theme="2" tint="-0.249977111117893"/>
      </right>
      <top style="hair">
        <color theme="2" tint="-0.249977111117893"/>
      </top>
      <bottom/>
      <diagonal/>
    </border>
    <border>
      <left style="hair">
        <color theme="2" tint="-0.24994659260841701"/>
      </left>
      <right/>
      <top style="hair">
        <color theme="2" tint="-0.24994659260841701"/>
      </top>
      <bottom style="hair">
        <color theme="2" tint="-0.24994659260841701"/>
      </bottom>
      <diagonal/>
    </border>
    <border>
      <left/>
      <right/>
      <top style="hair">
        <color theme="2" tint="-0.24994659260841701"/>
      </top>
      <bottom style="hair">
        <color theme="2" tint="-0.24994659260841701"/>
      </bottom>
      <diagonal/>
    </border>
    <border>
      <left/>
      <right style="hair">
        <color theme="2" tint="-0.24994659260841701"/>
      </right>
      <top style="hair">
        <color theme="2" tint="-0.24994659260841701"/>
      </top>
      <bottom style="hair">
        <color theme="2" tint="-0.24994659260841701"/>
      </bottom>
      <diagonal/>
    </border>
    <border>
      <left style="thin">
        <color theme="2" tint="-0.24994659260841701"/>
      </left>
      <right style="hair">
        <color theme="2" tint="-0.24994659260841701"/>
      </right>
      <top/>
      <bottom style="thin">
        <color theme="2" tint="-0.24994659260841701"/>
      </bottom>
      <diagonal/>
    </border>
    <border>
      <left style="hair">
        <color theme="2" tint="-0.24994659260841701"/>
      </left>
      <right style="hair">
        <color theme="2" tint="-0.24994659260841701"/>
      </right>
      <top/>
      <bottom style="thin">
        <color theme="2" tint="-0.24994659260841701"/>
      </bottom>
      <diagonal/>
    </border>
    <border>
      <left style="hair">
        <color theme="2" tint="-0.24994659260841701"/>
      </left>
      <right style="thin">
        <color theme="2" tint="-0.24994659260841701"/>
      </right>
      <top/>
      <bottom style="thin">
        <color theme="2" tint="-0.24994659260841701"/>
      </bottom>
      <diagonal/>
    </border>
    <border>
      <left style="hair">
        <color theme="2" tint="-0.249977111117893"/>
      </left>
      <right/>
      <top style="hair">
        <color theme="2" tint="-0.249977111117893"/>
      </top>
      <bottom style="hair">
        <color theme="2" tint="-0.249977111117893"/>
      </bottom>
      <diagonal/>
    </border>
    <border>
      <left/>
      <right/>
      <top style="hair">
        <color theme="2" tint="-0.249977111117893"/>
      </top>
      <bottom style="hair">
        <color theme="2" tint="-0.249977111117893"/>
      </bottom>
      <diagonal/>
    </border>
    <border>
      <left/>
      <right style="thin">
        <color theme="2" tint="-0.249977111117893"/>
      </right>
      <top style="hair">
        <color theme="2" tint="-0.249977111117893"/>
      </top>
      <bottom style="hair">
        <color theme="2" tint="-0.249977111117893"/>
      </bottom>
      <diagonal/>
    </border>
    <border>
      <left style="hair">
        <color theme="2" tint="-0.249977111117893"/>
      </left>
      <right style="hair">
        <color theme="2" tint="-0.249977111117893"/>
      </right>
      <top/>
      <bottom style="thin">
        <color theme="2" tint="-0.249977111117893"/>
      </bottom>
      <diagonal/>
    </border>
    <border>
      <left style="hair">
        <color theme="2" tint="-0.249977111117893"/>
      </left>
      <right style="thin">
        <color theme="2" tint="-0.249977111117893"/>
      </right>
      <top/>
      <bottom style="thin">
        <color theme="2" tint="-0.249977111117893"/>
      </bottom>
      <diagonal/>
    </border>
    <border>
      <left style="hair">
        <color theme="2" tint="-0.249977111117893"/>
      </left>
      <right/>
      <top style="hair">
        <color theme="2" tint="-0.249977111117893"/>
      </top>
      <bottom style="thin">
        <color theme="2" tint="-0.249977111117893"/>
      </bottom>
      <diagonal/>
    </border>
    <border>
      <left/>
      <right/>
      <top style="hair">
        <color theme="2" tint="-0.249977111117893"/>
      </top>
      <bottom style="thin">
        <color theme="2" tint="-0.249977111117893"/>
      </bottom>
      <diagonal/>
    </border>
    <border>
      <left/>
      <right style="thin">
        <color theme="2" tint="-0.249977111117893"/>
      </right>
      <top style="hair">
        <color theme="2" tint="-0.249977111117893"/>
      </top>
      <bottom style="thin">
        <color theme="2" tint="-0.249977111117893"/>
      </bottom>
      <diagonal/>
    </border>
    <border>
      <left style="thin">
        <color theme="2" tint="-0.249977111117893"/>
      </left>
      <right style="hair">
        <color theme="2" tint="-0.249977111117893"/>
      </right>
      <top/>
      <bottom style="thin">
        <color theme="2" tint="-0.249977111117893"/>
      </bottom>
      <diagonal/>
    </border>
    <border>
      <left style="thin">
        <color theme="2" tint="-0.249977111117893"/>
      </left>
      <right/>
      <top style="hair">
        <color theme="2" tint="-0.249977111117893"/>
      </top>
      <bottom style="hair">
        <color theme="2" tint="-0.24994659260841701"/>
      </bottom>
      <diagonal/>
    </border>
    <border>
      <left/>
      <right/>
      <top style="hair">
        <color theme="2" tint="-0.249977111117893"/>
      </top>
      <bottom style="hair">
        <color theme="2" tint="-0.24994659260841701"/>
      </bottom>
      <diagonal/>
    </border>
    <border>
      <left/>
      <right style="hair">
        <color theme="2" tint="-0.249977111117893"/>
      </right>
      <top style="hair">
        <color theme="2" tint="-0.249977111117893"/>
      </top>
      <bottom style="hair">
        <color theme="2" tint="-0.24994659260841701"/>
      </bottom>
      <diagonal/>
    </border>
    <border>
      <left style="thin">
        <color theme="2" tint="-0.249977111117893"/>
      </left>
      <right style="hair">
        <color theme="2" tint="-0.249977111117893"/>
      </right>
      <top style="thin">
        <color theme="2" tint="-0.249977111117893"/>
      </top>
      <bottom/>
      <diagonal/>
    </border>
    <border>
      <left style="thin">
        <color theme="2" tint="-0.249977111117893"/>
      </left>
      <right/>
      <top style="thin">
        <color theme="2" tint="-0.249977111117893"/>
      </top>
      <bottom style="hair">
        <color theme="2" tint="-0.249977111117893"/>
      </bottom>
      <diagonal/>
    </border>
    <border>
      <left/>
      <right/>
      <top style="thin">
        <color theme="2" tint="-0.249977111117893"/>
      </top>
      <bottom style="hair">
        <color theme="2" tint="-0.249977111117893"/>
      </bottom>
      <diagonal/>
    </border>
    <border>
      <left/>
      <right style="hair">
        <color theme="2" tint="-0.249977111117893"/>
      </right>
      <top style="thin">
        <color theme="2" tint="-0.249977111117893"/>
      </top>
      <bottom style="hair">
        <color theme="2" tint="-0.249977111117893"/>
      </bottom>
      <diagonal/>
    </border>
    <border>
      <left/>
      <right style="hair">
        <color theme="2" tint="-0.249977111117893"/>
      </right>
      <top style="hair">
        <color theme="2" tint="-0.249977111117893"/>
      </top>
      <bottom style="hair">
        <color theme="2" tint="-0.249977111117893"/>
      </bottom>
      <diagonal/>
    </border>
    <border>
      <left style="hair">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theme="2" tint="-0.24994659260841701"/>
      </right>
      <top/>
      <bottom/>
      <diagonal/>
    </border>
    <border>
      <left style="thin">
        <color theme="2" tint="-0.249977111117893"/>
      </left>
      <right/>
      <top style="hair">
        <color theme="2" tint="-0.249977111117893"/>
      </top>
      <bottom style="hair">
        <color theme="2" tint="-0.249977111117893"/>
      </bottom>
      <diagonal/>
    </border>
    <border>
      <left style="thin">
        <color theme="2" tint="-0.249977111117893"/>
      </left>
      <right/>
      <top style="hair">
        <color theme="2" tint="-0.249977111117893"/>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theme="2" tint="-0.249977111117893"/>
      </left>
      <right/>
      <top style="hair">
        <color theme="2" tint="-0.24994659260841701"/>
      </top>
      <bottom style="hair">
        <color theme="2" tint="-0.24994659260841701"/>
      </bottom>
      <diagonal/>
    </border>
    <border>
      <left style="hair">
        <color theme="2" tint="-0.24994659260841701"/>
      </left>
      <right/>
      <top style="hair">
        <color indexed="64"/>
      </top>
      <bottom style="hair">
        <color theme="2" tint="-0.24994659260841701"/>
      </bottom>
      <diagonal/>
    </border>
    <border>
      <left/>
      <right/>
      <top style="hair">
        <color indexed="64"/>
      </top>
      <bottom style="hair">
        <color theme="2" tint="-0.24994659260841701"/>
      </bottom>
      <diagonal/>
    </border>
    <border>
      <left/>
      <right style="hair">
        <color theme="2" tint="-0.24994659260841701"/>
      </right>
      <top style="hair">
        <color indexed="64"/>
      </top>
      <bottom style="hair">
        <color theme="2" tint="-0.24994659260841701"/>
      </bottom>
      <diagonal/>
    </border>
    <border>
      <left style="hair">
        <color theme="2" tint="-0.249977111117893"/>
      </left>
      <right/>
      <top style="thin">
        <color theme="2" tint="-0.249977111117893"/>
      </top>
      <bottom style="thin">
        <color theme="2" tint="-0.249977111117893"/>
      </bottom>
      <diagonal/>
    </border>
    <border>
      <left/>
      <right style="hair">
        <color theme="2" tint="-0.249977111117893"/>
      </right>
      <top style="thin">
        <color theme="2" tint="-0.249977111117893"/>
      </top>
      <bottom style="thin">
        <color theme="2" tint="-0.249977111117893"/>
      </bottom>
      <diagonal/>
    </border>
    <border>
      <left style="hair">
        <color theme="2" tint="-0.249977111117893"/>
      </left>
      <right/>
      <top style="thin">
        <color theme="2" tint="-0.249977111117893"/>
      </top>
      <bottom style="hair">
        <color theme="2" tint="-0.249977111117893"/>
      </bottom>
      <diagonal/>
    </border>
    <border>
      <left/>
      <right style="thin">
        <color theme="2" tint="-0.249977111117893"/>
      </right>
      <top style="thin">
        <color theme="2" tint="-0.249977111117893"/>
      </top>
      <bottom style="hair">
        <color theme="2" tint="-0.249977111117893"/>
      </bottom>
      <diagonal/>
    </border>
    <border>
      <left style="hair">
        <color theme="1" tint="0.34998626667073579"/>
      </left>
      <right/>
      <top style="hair">
        <color indexed="64"/>
      </top>
      <bottom style="hair">
        <color indexed="64"/>
      </bottom>
      <diagonal/>
    </border>
    <border>
      <left/>
      <right style="hair">
        <color theme="1" tint="0.34998626667073579"/>
      </right>
      <top style="hair">
        <color indexed="64"/>
      </top>
      <bottom style="hair">
        <color indexed="64"/>
      </bottom>
      <diagonal/>
    </border>
    <border>
      <left style="hair">
        <color theme="2" tint="-0.249977111117893"/>
      </left>
      <right/>
      <top style="hair">
        <color theme="1" tint="0.34998626667073579"/>
      </top>
      <bottom style="thin">
        <color theme="2" tint="-0.249977111117893"/>
      </bottom>
      <diagonal/>
    </border>
    <border>
      <left/>
      <right/>
      <top style="hair">
        <color theme="1" tint="0.34998626667073579"/>
      </top>
      <bottom style="thin">
        <color theme="2" tint="-0.249977111117893"/>
      </bottom>
      <diagonal/>
    </border>
    <border>
      <left/>
      <right style="hair">
        <color theme="2" tint="-0.249977111117893"/>
      </right>
      <top style="hair">
        <color theme="1" tint="0.34998626667073579"/>
      </top>
      <bottom style="thin">
        <color theme="2" tint="-0.249977111117893"/>
      </bottom>
      <diagonal/>
    </border>
    <border>
      <left/>
      <right style="hair">
        <color indexed="64"/>
      </right>
      <top style="hair">
        <color theme="1" tint="0.34998626667073579"/>
      </top>
      <bottom style="hair">
        <color theme="1" tint="0.34998626667073579"/>
      </bottom>
      <diagonal/>
    </border>
    <border>
      <left style="hair">
        <color indexed="64"/>
      </left>
      <right/>
      <top style="thin">
        <color theme="2" tint="-0.249977111117893"/>
      </top>
      <bottom style="hair">
        <color indexed="64"/>
      </bottom>
      <diagonal/>
    </border>
    <border>
      <left/>
      <right/>
      <top style="thin">
        <color theme="2" tint="-0.249977111117893"/>
      </top>
      <bottom style="hair">
        <color indexed="64"/>
      </bottom>
      <diagonal/>
    </border>
    <border>
      <left/>
      <right style="hair">
        <color indexed="64"/>
      </right>
      <top style="thin">
        <color theme="2" tint="-0.249977111117893"/>
      </top>
      <bottom style="hair">
        <color indexed="64"/>
      </bottom>
      <diagonal/>
    </border>
    <border>
      <left style="hair">
        <color theme="1" tint="0.34998626667073579"/>
      </left>
      <right/>
      <top style="thin">
        <color theme="2" tint="-0.249977111117893"/>
      </top>
      <bottom style="hair">
        <color theme="2" tint="-0.249977111117893"/>
      </bottom>
      <diagonal/>
    </border>
    <border>
      <left style="hair">
        <color theme="1" tint="0.34998626667073579"/>
      </left>
      <right/>
      <top style="hair">
        <color theme="2" tint="-0.249977111117893"/>
      </top>
      <bottom style="hair">
        <color theme="2" tint="-0.249977111117893"/>
      </bottom>
      <diagonal/>
    </border>
  </borders>
  <cellStyleXfs count="1">
    <xf numFmtId="0" fontId="0" fillId="0" borderId="0"/>
  </cellStyleXfs>
  <cellXfs count="352">
    <xf numFmtId="0" fontId="0" fillId="0" borderId="0" xfId="0"/>
    <xf numFmtId="0" fontId="0" fillId="2" borderId="0" xfId="0" applyFill="1"/>
    <xf numFmtId="165" fontId="0" fillId="2" borderId="0" xfId="0" applyNumberFormat="1" applyFill="1"/>
    <xf numFmtId="0" fontId="3" fillId="2" borderId="0" xfId="0" applyFont="1" applyFill="1" applyAlignment="1">
      <alignment horizontal="center" wrapText="1"/>
    </xf>
    <xf numFmtId="165" fontId="1" fillId="3" borderId="1" xfId="0" applyNumberFormat="1" applyFont="1" applyFill="1" applyBorder="1"/>
    <xf numFmtId="0" fontId="1" fillId="3" borderId="1" xfId="0" applyFont="1" applyFill="1" applyBorder="1"/>
    <xf numFmtId="0" fontId="0" fillId="2" borderId="1" xfId="0" applyFill="1" applyBorder="1"/>
    <xf numFmtId="165" fontId="0" fillId="0" borderId="1" xfId="0" applyNumberFormat="1" applyBorder="1"/>
    <xf numFmtId="0" fontId="0" fillId="0" borderId="1" xfId="0" applyBorder="1"/>
    <xf numFmtId="165" fontId="0" fillId="2" borderId="1" xfId="0" applyNumberFormat="1" applyFill="1" applyBorder="1"/>
    <xf numFmtId="0" fontId="0" fillId="0" borderId="0" xfId="0" applyAlignment="1">
      <alignment horizontal="center"/>
    </xf>
    <xf numFmtId="0" fontId="6" fillId="0" borderId="0" xfId="0" applyFont="1"/>
    <xf numFmtId="0" fontId="0" fillId="0" borderId="0" xfId="0" applyAlignment="1">
      <alignment horizontal="center" vertical="top"/>
    </xf>
    <xf numFmtId="0" fontId="0" fillId="0" borderId="0" xfId="0" applyAlignment="1">
      <alignment wrapText="1"/>
    </xf>
    <xf numFmtId="0" fontId="5" fillId="0" borderId="0" xfId="0" applyFont="1"/>
    <xf numFmtId="0" fontId="5" fillId="5" borderId="0" xfId="0" applyFont="1" applyFill="1" applyAlignment="1">
      <alignment horizontal="center" vertical="top"/>
    </xf>
    <xf numFmtId="0" fontId="5" fillId="0" borderId="0" xfId="0" applyFont="1" applyAlignment="1">
      <alignment horizontal="center"/>
    </xf>
    <xf numFmtId="0" fontId="5" fillId="6" borderId="2" xfId="0" applyFont="1" applyFill="1" applyBorder="1"/>
    <xf numFmtId="0" fontId="5" fillId="6" borderId="3" xfId="0" applyFont="1" applyFill="1" applyBorder="1" applyAlignment="1">
      <alignment horizontal="center"/>
    </xf>
    <xf numFmtId="0" fontId="0" fillId="0" borderId="0" xfId="0" applyAlignment="1">
      <alignment horizontal="left"/>
    </xf>
    <xf numFmtId="1" fontId="7" fillId="2" borderId="0" xfId="0" applyNumberFormat="1" applyFont="1" applyFill="1" applyAlignment="1">
      <alignment horizontal="center"/>
    </xf>
    <xf numFmtId="0" fontId="7" fillId="2" borderId="0" xfId="0" applyFont="1" applyFill="1"/>
    <xf numFmtId="0" fontId="8" fillId="2" borderId="0" xfId="0" applyFont="1" applyFill="1"/>
    <xf numFmtId="0" fontId="8" fillId="2" borderId="2" xfId="0" applyFont="1" applyFill="1" applyBorder="1"/>
    <xf numFmtId="0" fontId="8" fillId="2" borderId="8" xfId="0" applyFont="1" applyFill="1" applyBorder="1"/>
    <xf numFmtId="0" fontId="8" fillId="2" borderId="3" xfId="0" applyFont="1" applyFill="1" applyBorder="1"/>
    <xf numFmtId="0" fontId="10" fillId="2" borderId="0" xfId="0" applyFont="1" applyFill="1"/>
    <xf numFmtId="0" fontId="8" fillId="2" borderId="5" xfId="0" applyFont="1" applyFill="1" applyBorder="1"/>
    <xf numFmtId="0" fontId="14" fillId="2" borderId="0" xfId="0" applyFont="1" applyFill="1"/>
    <xf numFmtId="0" fontId="8" fillId="2" borderId="4" xfId="0" applyFont="1" applyFill="1" applyBorder="1"/>
    <xf numFmtId="0" fontId="15" fillId="2" borderId="5" xfId="0" applyFont="1" applyFill="1" applyBorder="1"/>
    <xf numFmtId="0" fontId="8" fillId="2" borderId="0" xfId="0" applyFont="1" applyFill="1" applyAlignment="1">
      <alignment horizontal="left"/>
    </xf>
    <xf numFmtId="0" fontId="8" fillId="2" borderId="0" xfId="0" applyFont="1" applyFill="1" applyAlignment="1">
      <alignment vertical="top"/>
    </xf>
    <xf numFmtId="0" fontId="18" fillId="2" borderId="0" xfId="0" quotePrefix="1" applyFont="1" applyFill="1" applyAlignment="1">
      <alignment vertical="top" wrapText="1"/>
    </xf>
    <xf numFmtId="0" fontId="18" fillId="2" borderId="0" xfId="0" applyFont="1" applyFill="1" applyAlignment="1">
      <alignment vertical="top" wrapText="1"/>
    </xf>
    <xf numFmtId="14" fontId="8" fillId="2" borderId="9" xfId="0" applyNumberFormat="1" applyFont="1" applyFill="1" applyBorder="1" applyAlignment="1">
      <alignment horizontal="left" vertical="top"/>
    </xf>
    <xf numFmtId="0" fontId="8" fillId="2" borderId="0" xfId="0" applyFont="1" applyFill="1" applyAlignment="1">
      <alignment vertical="top" wrapText="1"/>
    </xf>
    <xf numFmtId="0" fontId="7" fillId="2" borderId="0" xfId="0" applyFont="1" applyFill="1" applyAlignment="1">
      <alignment vertical="center"/>
    </xf>
    <xf numFmtId="0" fontId="8" fillId="2" borderId="0" xfId="0" applyFont="1" applyFill="1" applyAlignment="1">
      <alignment wrapText="1"/>
    </xf>
    <xf numFmtId="0" fontId="8" fillId="2" borderId="0" xfId="0" applyFont="1" applyFill="1" applyAlignment="1">
      <alignment horizontal="left" vertical="center"/>
    </xf>
    <xf numFmtId="0" fontId="8" fillId="2" borderId="6" xfId="0" applyFont="1" applyFill="1" applyBorder="1"/>
    <xf numFmtId="0" fontId="8" fillId="2" borderId="10" xfId="0" applyFont="1" applyFill="1" applyBorder="1"/>
    <xf numFmtId="0" fontId="8" fillId="2" borderId="7" xfId="0" applyFont="1" applyFill="1" applyBorder="1"/>
    <xf numFmtId="0" fontId="7" fillId="2" borderId="0" xfId="0" applyFont="1" applyFill="1" applyAlignment="1">
      <alignment horizontal="center"/>
    </xf>
    <xf numFmtId="0" fontId="7" fillId="2" borderId="5" xfId="0" applyFont="1" applyFill="1" applyBorder="1"/>
    <xf numFmtId="0" fontId="7" fillId="2" borderId="4" xfId="0" applyFont="1" applyFill="1" applyBorder="1" applyAlignment="1">
      <alignment horizontal="center"/>
    </xf>
    <xf numFmtId="0" fontId="12" fillId="2" borderId="0" xfId="0" applyFont="1" applyFill="1" applyAlignment="1">
      <alignment horizontal="left"/>
    </xf>
    <xf numFmtId="0" fontId="8" fillId="2" borderId="19" xfId="0" applyFont="1" applyFill="1" applyBorder="1" applyAlignment="1">
      <alignment vertical="top"/>
    </xf>
    <xf numFmtId="0" fontId="8" fillId="2" borderId="0" xfId="0" applyFont="1" applyFill="1" applyAlignment="1">
      <alignment horizontal="center" vertical="center"/>
    </xf>
    <xf numFmtId="0" fontId="7" fillId="2" borderId="6" xfId="0" applyFont="1" applyFill="1" applyBorder="1" applyAlignment="1">
      <alignment horizontal="center"/>
    </xf>
    <xf numFmtId="0" fontId="7" fillId="2" borderId="10" xfId="0" applyFont="1" applyFill="1" applyBorder="1"/>
    <xf numFmtId="0" fontId="7" fillId="2" borderId="7" xfId="0" applyFont="1" applyFill="1" applyBorder="1"/>
    <xf numFmtId="49" fontId="0" fillId="0" borderId="0" xfId="0" applyNumberFormat="1" applyAlignment="1">
      <alignment vertical="top" wrapText="1"/>
    </xf>
    <xf numFmtId="0" fontId="8" fillId="2" borderId="0" xfId="0" applyFont="1" applyFill="1" applyAlignment="1">
      <alignment horizontal="left" vertical="top"/>
    </xf>
    <xf numFmtId="0" fontId="8" fillId="2" borderId="0" xfId="0" applyFont="1" applyFill="1" applyAlignment="1">
      <alignment horizontal="left" vertical="top" wrapText="1"/>
    </xf>
    <xf numFmtId="0" fontId="8" fillId="2" borderId="0" xfId="0" applyFont="1" applyFill="1" applyAlignment="1">
      <alignment vertical="center"/>
    </xf>
    <xf numFmtId="49" fontId="8" fillId="2" borderId="9" xfId="0" applyNumberFormat="1" applyFont="1" applyFill="1" applyBorder="1" applyAlignment="1">
      <alignment vertical="center" wrapText="1"/>
    </xf>
    <xf numFmtId="0" fontId="12" fillId="2" borderId="0" xfId="0" applyFont="1" applyFill="1" applyAlignment="1">
      <alignment vertical="center"/>
    </xf>
    <xf numFmtId="0" fontId="9" fillId="2" borderId="4" xfId="0" applyFont="1" applyFill="1" applyBorder="1" applyAlignment="1">
      <alignment horizontal="left"/>
    </xf>
    <xf numFmtId="0" fontId="9" fillId="2" borderId="0" xfId="0" applyFont="1" applyFill="1"/>
    <xf numFmtId="0" fontId="27" fillId="4" borderId="4" xfId="0" applyFont="1" applyFill="1" applyBorder="1" applyAlignment="1">
      <alignment vertical="top"/>
    </xf>
    <xf numFmtId="0" fontId="27" fillId="4" borderId="0" xfId="0" applyFont="1" applyFill="1" applyAlignment="1">
      <alignment vertical="top"/>
    </xf>
    <xf numFmtId="0" fontId="1" fillId="8" borderId="1" xfId="0" applyFont="1" applyFill="1" applyBorder="1"/>
    <xf numFmtId="0" fontId="0" fillId="8" borderId="1" xfId="0" applyFill="1" applyBorder="1"/>
    <xf numFmtId="0" fontId="9" fillId="2" borderId="4" xfId="0" applyFont="1" applyFill="1" applyBorder="1"/>
    <xf numFmtId="0" fontId="11" fillId="2" borderId="0" xfId="0" applyFont="1" applyFill="1"/>
    <xf numFmtId="0" fontId="12" fillId="2" borderId="0" xfId="0" applyFont="1" applyFill="1"/>
    <xf numFmtId="166" fontId="13" fillId="2" borderId="0" xfId="0" applyNumberFormat="1" applyFont="1" applyFill="1"/>
    <xf numFmtId="0" fontId="24" fillId="3" borderId="24" xfId="0" applyFont="1" applyFill="1" applyBorder="1" applyAlignment="1">
      <alignment horizontal="center" vertical="center" wrapText="1"/>
    </xf>
    <xf numFmtId="0" fontId="24" fillId="3" borderId="24" xfId="0" applyFont="1" applyFill="1" applyBorder="1" applyAlignment="1">
      <alignment horizontal="center" vertical="center"/>
    </xf>
    <xf numFmtId="0" fontId="24" fillId="3" borderId="25" xfId="0" applyFont="1" applyFill="1" applyBorder="1" applyAlignment="1">
      <alignment horizontal="center" vertical="center"/>
    </xf>
    <xf numFmtId="0" fontId="8" fillId="2" borderId="29" xfId="0" applyFont="1" applyFill="1" applyBorder="1" applyAlignment="1">
      <alignment horizontal="center" vertical="center"/>
    </xf>
    <xf numFmtId="0" fontId="8" fillId="2" borderId="20" xfId="0" applyFont="1" applyFill="1" applyBorder="1" applyAlignment="1">
      <alignment horizontal="left" vertical="center"/>
    </xf>
    <xf numFmtId="0" fontId="13" fillId="2" borderId="0" xfId="0" applyFont="1" applyFill="1" applyAlignment="1">
      <alignment horizontal="left" vertical="top"/>
    </xf>
    <xf numFmtId="0" fontId="28" fillId="4" borderId="0" xfId="0" applyFont="1" applyFill="1" applyAlignment="1">
      <alignment horizontal="left" vertical="top"/>
    </xf>
    <xf numFmtId="0" fontId="28" fillId="0" borderId="0" xfId="0" applyFont="1" applyAlignment="1">
      <alignment horizontal="left" vertical="top"/>
    </xf>
    <xf numFmtId="0" fontId="24" fillId="3" borderId="0" xfId="0" applyFont="1" applyFill="1" applyAlignment="1">
      <alignment horizontal="center" vertical="center"/>
    </xf>
    <xf numFmtId="0" fontId="29" fillId="2" borderId="36" xfId="0" applyFont="1" applyFill="1" applyBorder="1" applyAlignment="1">
      <alignment horizontal="center" vertical="center"/>
    </xf>
    <xf numFmtId="0" fontId="29" fillId="2" borderId="37" xfId="0" applyFont="1" applyFill="1" applyBorder="1" applyAlignment="1">
      <alignment horizontal="center" vertical="center"/>
    </xf>
    <xf numFmtId="0" fontId="29" fillId="2" borderId="29" xfId="0" applyFont="1" applyFill="1" applyBorder="1" applyAlignment="1">
      <alignment horizontal="center" vertical="center"/>
    </xf>
    <xf numFmtId="0" fontId="29" fillId="2" borderId="43" xfId="0" applyFont="1" applyFill="1" applyBorder="1" applyAlignment="1">
      <alignment horizontal="center" vertical="center"/>
    </xf>
    <xf numFmtId="0" fontId="29" fillId="2" borderId="34" xfId="0" applyFont="1" applyFill="1" applyBorder="1" applyAlignment="1">
      <alignment horizontal="center" vertical="top"/>
    </xf>
    <xf numFmtId="0" fontId="29" fillId="2" borderId="44" xfId="0" applyFont="1" applyFill="1" applyBorder="1" applyAlignment="1">
      <alignment horizontal="center" vertical="top"/>
    </xf>
    <xf numFmtId="0" fontId="29" fillId="2" borderId="41" xfId="0" applyFont="1" applyFill="1" applyBorder="1" applyAlignment="1">
      <alignment horizontal="center" vertical="top"/>
    </xf>
    <xf numFmtId="0" fontId="29" fillId="2" borderId="48" xfId="0" applyFont="1" applyFill="1" applyBorder="1" applyAlignment="1">
      <alignment horizontal="center" vertical="center"/>
    </xf>
    <xf numFmtId="0" fontId="29" fillId="2" borderId="34" xfId="0" applyFont="1" applyFill="1" applyBorder="1" applyAlignment="1">
      <alignment horizontal="left" vertical="top"/>
    </xf>
    <xf numFmtId="0" fontId="29" fillId="2" borderId="35" xfId="0" applyFont="1" applyFill="1" applyBorder="1" applyAlignment="1">
      <alignment horizontal="left" vertical="top" wrapText="1"/>
    </xf>
    <xf numFmtId="14" fontId="29" fillId="2" borderId="33" xfId="0" applyNumberFormat="1" applyFont="1" applyFill="1" applyBorder="1" applyAlignment="1">
      <alignment horizontal="center" vertical="top"/>
    </xf>
    <xf numFmtId="14" fontId="29" fillId="2" borderId="42" xfId="0" applyNumberFormat="1" applyFont="1" applyFill="1" applyBorder="1" applyAlignment="1">
      <alignment horizontal="center" vertical="top"/>
    </xf>
    <xf numFmtId="0" fontId="29" fillId="2" borderId="35" xfId="0" applyFont="1" applyFill="1" applyBorder="1" applyAlignment="1">
      <alignment horizontal="left" vertical="top"/>
    </xf>
    <xf numFmtId="14" fontId="29" fillId="2" borderId="44" xfId="0" applyNumberFormat="1" applyFont="1" applyFill="1" applyBorder="1" applyAlignment="1">
      <alignment horizontal="center" vertical="top"/>
    </xf>
    <xf numFmtId="0" fontId="29" fillId="2" borderId="47" xfId="0" applyFont="1" applyFill="1" applyBorder="1"/>
    <xf numFmtId="0" fontId="29" fillId="2" borderId="47" xfId="0" applyFont="1" applyFill="1" applyBorder="1" applyAlignment="1">
      <alignment vertical="top"/>
    </xf>
    <xf numFmtId="0" fontId="29" fillId="2" borderId="34" xfId="0" applyFont="1" applyFill="1" applyBorder="1" applyAlignment="1">
      <alignment horizontal="left" vertical="top" wrapText="1"/>
    </xf>
    <xf numFmtId="0" fontId="29" fillId="2" borderId="38" xfId="0" applyFont="1" applyFill="1" applyBorder="1" applyAlignment="1">
      <alignment horizontal="left" vertical="top" wrapText="1"/>
    </xf>
    <xf numFmtId="0" fontId="29" fillId="2" borderId="39" xfId="0" applyFont="1" applyFill="1" applyBorder="1" applyAlignment="1">
      <alignment horizontal="left" vertical="top" wrapText="1"/>
    </xf>
    <xf numFmtId="0" fontId="29" fillId="2" borderId="40" xfId="0" applyFont="1" applyFill="1" applyBorder="1" applyAlignment="1">
      <alignment horizontal="left" vertical="top" wrapText="1"/>
    </xf>
    <xf numFmtId="0" fontId="29" fillId="2" borderId="48" xfId="0" applyFont="1" applyFill="1" applyBorder="1" applyAlignment="1">
      <alignment horizontal="center" vertical="center" wrapText="1"/>
    </xf>
    <xf numFmtId="14" fontId="29" fillId="2" borderId="33" xfId="0" applyNumberFormat="1" applyFont="1" applyFill="1" applyBorder="1" applyAlignment="1">
      <alignment horizontal="center" vertical="top" wrapText="1"/>
    </xf>
    <xf numFmtId="0" fontId="29" fillId="2" borderId="47" xfId="0" applyFont="1" applyFill="1" applyBorder="1" applyAlignment="1">
      <alignment vertical="top" wrapText="1"/>
    </xf>
    <xf numFmtId="0" fontId="29" fillId="7" borderId="44" xfId="0" applyFont="1" applyFill="1" applyBorder="1" applyAlignment="1">
      <alignment horizontal="center" vertical="top"/>
    </xf>
    <xf numFmtId="0" fontId="29" fillId="7" borderId="44" xfId="0" applyFont="1" applyFill="1" applyBorder="1" applyAlignment="1">
      <alignment horizontal="center" vertical="top" wrapText="1"/>
    </xf>
    <xf numFmtId="0" fontId="4" fillId="2" borderId="0" xfId="0" applyFont="1" applyFill="1" applyAlignment="1">
      <alignment vertical="top"/>
    </xf>
    <xf numFmtId="0" fontId="4" fillId="2" borderId="0" xfId="0" applyFont="1" applyFill="1" applyAlignment="1">
      <alignment horizontal="center" vertical="top"/>
    </xf>
    <xf numFmtId="0" fontId="0" fillId="2" borderId="0" xfId="0" applyFill="1" applyAlignment="1">
      <alignment horizontal="center"/>
    </xf>
    <xf numFmtId="0" fontId="24" fillId="4" borderId="21" xfId="0" applyFont="1" applyFill="1" applyBorder="1" applyAlignment="1">
      <alignment vertical="top" wrapText="1"/>
    </xf>
    <xf numFmtId="0" fontId="24" fillId="4" borderId="21" xfId="0" applyFont="1" applyFill="1" applyBorder="1" applyAlignment="1">
      <alignment horizontal="center" vertical="top"/>
    </xf>
    <xf numFmtId="0" fontId="32" fillId="2" borderId="1" xfId="0" applyFont="1" applyFill="1" applyBorder="1" applyAlignment="1">
      <alignment horizontal="center" vertical="center"/>
    </xf>
    <xf numFmtId="0" fontId="32" fillId="2" borderId="1" xfId="0" applyFont="1" applyFill="1" applyBorder="1" applyAlignment="1">
      <alignment horizontal="left" vertical="center" wrapText="1"/>
    </xf>
    <xf numFmtId="0" fontId="32" fillId="2" borderId="1" xfId="0" applyFont="1" applyFill="1" applyBorder="1" applyAlignment="1">
      <alignment vertical="center" wrapText="1"/>
    </xf>
    <xf numFmtId="0" fontId="0" fillId="2" borderId="4" xfId="0" applyFill="1" applyBorder="1"/>
    <xf numFmtId="0" fontId="0" fillId="2" borderId="5" xfId="0" applyFill="1" applyBorder="1" applyAlignment="1">
      <alignment horizontal="center"/>
    </xf>
    <xf numFmtId="0" fontId="0" fillId="2" borderId="6" xfId="0" applyFill="1" applyBorder="1"/>
    <xf numFmtId="0" fontId="0" fillId="2" borderId="7" xfId="0" applyFill="1" applyBorder="1" applyAlignment="1">
      <alignment horizontal="center"/>
    </xf>
    <xf numFmtId="0" fontId="29" fillId="2" borderId="31" xfId="0" applyFont="1" applyFill="1" applyBorder="1" applyAlignment="1">
      <alignment horizontal="left" vertical="top" wrapText="1"/>
    </xf>
    <xf numFmtId="0" fontId="29" fillId="2" borderId="32" xfId="0" applyFont="1" applyFill="1" applyBorder="1" applyAlignment="1">
      <alignment horizontal="left" vertical="top" wrapText="1"/>
    </xf>
    <xf numFmtId="0" fontId="29" fillId="2" borderId="33" xfId="0" applyFont="1" applyFill="1" applyBorder="1" applyAlignment="1">
      <alignment horizontal="left" vertical="top" wrapText="1"/>
    </xf>
    <xf numFmtId="0" fontId="31" fillId="5" borderId="21" xfId="0" applyFont="1" applyFill="1" applyBorder="1" applyAlignment="1">
      <alignment vertical="top"/>
    </xf>
    <xf numFmtId="0" fontId="6" fillId="0" borderId="0" xfId="0" applyFont="1" applyAlignment="1">
      <alignment vertical="top"/>
    </xf>
    <xf numFmtId="0" fontId="8" fillId="2" borderId="59" xfId="0" applyFont="1" applyFill="1" applyBorder="1" applyAlignment="1">
      <alignment horizontal="center" vertical="center"/>
    </xf>
    <xf numFmtId="0" fontId="8" fillId="2" borderId="60" xfId="0" applyFont="1" applyFill="1" applyBorder="1" applyAlignment="1">
      <alignment horizontal="center" vertical="center"/>
    </xf>
    <xf numFmtId="14" fontId="8" fillId="2" borderId="60" xfId="0" applyNumberFormat="1" applyFont="1" applyFill="1" applyBorder="1" applyAlignment="1">
      <alignment horizontal="center" vertical="center"/>
    </xf>
    <xf numFmtId="0" fontId="8" fillId="2" borderId="61" xfId="0" applyFont="1" applyFill="1" applyBorder="1" applyAlignment="1">
      <alignment vertical="center"/>
    </xf>
    <xf numFmtId="0" fontId="8" fillId="2" borderId="62" xfId="0" applyFont="1" applyFill="1" applyBorder="1" applyAlignment="1">
      <alignment horizontal="center" vertical="center"/>
    </xf>
    <xf numFmtId="0" fontId="8" fillId="2" borderId="63" xfId="0" applyFont="1" applyFill="1" applyBorder="1" applyAlignment="1">
      <alignment horizontal="center" vertical="center"/>
    </xf>
    <xf numFmtId="14" fontId="8" fillId="2" borderId="63" xfId="0" applyNumberFormat="1" applyFont="1" applyFill="1" applyBorder="1" applyAlignment="1">
      <alignment horizontal="center" vertical="center"/>
    </xf>
    <xf numFmtId="0" fontId="8" fillId="2" borderId="64" xfId="0" applyFont="1" applyFill="1" applyBorder="1" applyAlignment="1">
      <alignment horizontal="left" vertical="center"/>
    </xf>
    <xf numFmtId="0" fontId="8" fillId="2" borderId="26" xfId="0" applyFont="1" applyFill="1" applyBorder="1" applyAlignment="1">
      <alignment horizontal="center" vertical="center"/>
    </xf>
    <xf numFmtId="0" fontId="26" fillId="7" borderId="66" xfId="0" applyFont="1" applyFill="1" applyBorder="1" applyAlignment="1">
      <alignment horizontal="center" vertical="center" wrapText="1"/>
    </xf>
    <xf numFmtId="0" fontId="26" fillId="7" borderId="65" xfId="0" applyFont="1" applyFill="1" applyBorder="1" applyAlignment="1">
      <alignment horizontal="center" vertical="center"/>
    </xf>
    <xf numFmtId="0" fontId="8" fillId="2" borderId="70" xfId="0" applyFont="1" applyFill="1" applyBorder="1" applyAlignment="1">
      <alignment horizontal="center" vertical="center"/>
    </xf>
    <xf numFmtId="0" fontId="8" fillId="2" borderId="71" xfId="0" applyFont="1" applyFill="1" applyBorder="1" applyAlignment="1">
      <alignment horizontal="center" vertical="center"/>
    </xf>
    <xf numFmtId="14" fontId="8" fillId="2" borderId="71" xfId="0" applyNumberFormat="1" applyFont="1" applyFill="1" applyBorder="1" applyAlignment="1">
      <alignment horizontal="center" vertical="center"/>
    </xf>
    <xf numFmtId="0" fontId="8" fillId="2" borderId="72" xfId="0" applyFont="1" applyFill="1" applyBorder="1" applyAlignment="1">
      <alignment horizontal="left" vertical="center"/>
    </xf>
    <xf numFmtId="0" fontId="8" fillId="2" borderId="81" xfId="0" applyFont="1" applyFill="1" applyBorder="1" applyAlignment="1">
      <alignment horizontal="center" vertical="center"/>
    </xf>
    <xf numFmtId="0" fontId="31" fillId="5" borderId="21" xfId="0" applyFont="1" applyFill="1" applyBorder="1" applyAlignment="1">
      <alignment vertical="top" wrapText="1"/>
    </xf>
    <xf numFmtId="0" fontId="24" fillId="4" borderId="21" xfId="0" applyFont="1" applyFill="1" applyBorder="1" applyAlignment="1">
      <alignment horizontal="center" vertical="top" wrapText="1"/>
    </xf>
    <xf numFmtId="0" fontId="22" fillId="2" borderId="0" xfId="0" applyFont="1" applyFill="1" applyAlignment="1">
      <alignment vertical="center" wrapText="1"/>
    </xf>
    <xf numFmtId="0" fontId="8" fillId="2" borderId="92" xfId="0" applyFont="1" applyFill="1" applyBorder="1" applyAlignment="1">
      <alignment vertical="top"/>
    </xf>
    <xf numFmtId="0" fontId="22" fillId="2" borderId="92" xfId="0" applyFont="1" applyFill="1" applyBorder="1" applyAlignment="1">
      <alignment vertical="center" wrapText="1"/>
    </xf>
    <xf numFmtId="0" fontId="8" fillId="2" borderId="93" xfId="0" applyFont="1" applyFill="1" applyBorder="1" applyAlignment="1">
      <alignment horizontal="center" vertical="center"/>
    </xf>
    <xf numFmtId="0" fontId="8" fillId="2" borderId="60" xfId="0" applyFont="1" applyFill="1" applyBorder="1" applyAlignment="1">
      <alignment horizontal="center" vertical="center" wrapText="1"/>
    </xf>
    <xf numFmtId="0" fontId="22" fillId="2" borderId="27" xfId="0" applyFont="1" applyFill="1" applyBorder="1" applyAlignment="1">
      <alignment horizontal="center" vertical="center"/>
    </xf>
    <xf numFmtId="14" fontId="22" fillId="2" borderId="27" xfId="0" applyNumberFormat="1" applyFont="1" applyFill="1" applyBorder="1" applyAlignment="1">
      <alignment horizontal="center" vertical="center"/>
    </xf>
    <xf numFmtId="0" fontId="33" fillId="2" borderId="2" xfId="0" applyFont="1" applyFill="1" applyBorder="1" applyAlignment="1">
      <alignment horizontal="center"/>
    </xf>
    <xf numFmtId="0" fontId="33" fillId="2" borderId="8" xfId="0" applyFont="1" applyFill="1" applyBorder="1"/>
    <xf numFmtId="0" fontId="33" fillId="2" borderId="3" xfId="0" applyFont="1" applyFill="1" applyBorder="1"/>
    <xf numFmtId="0" fontId="33" fillId="2" borderId="0" xfId="0" applyFont="1" applyFill="1"/>
    <xf numFmtId="0" fontId="34" fillId="2" borderId="0" xfId="0" applyFont="1" applyFill="1"/>
    <xf numFmtId="0" fontId="5" fillId="6" borderId="21" xfId="0" applyFont="1" applyFill="1" applyBorder="1"/>
    <xf numFmtId="0" fontId="0" fillId="2" borderId="95" xfId="0" applyFill="1" applyBorder="1"/>
    <xf numFmtId="0" fontId="0" fillId="2" borderId="96" xfId="0" applyFill="1" applyBorder="1"/>
    <xf numFmtId="0" fontId="29" fillId="2" borderId="44" xfId="0" applyFont="1" applyFill="1" applyBorder="1" applyAlignment="1">
      <alignment horizontal="center" vertical="top" wrapText="1"/>
    </xf>
    <xf numFmtId="0" fontId="8" fillId="2" borderId="61" xfId="0" applyFont="1" applyFill="1" applyBorder="1" applyAlignment="1">
      <alignment vertical="center" wrapText="1"/>
    </xf>
    <xf numFmtId="0" fontId="8" fillId="2" borderId="85" xfId="0" applyFont="1" applyFill="1" applyBorder="1" applyAlignment="1">
      <alignment horizontal="center" vertical="center"/>
    </xf>
    <xf numFmtId="0" fontId="8" fillId="2" borderId="94" xfId="0" applyFont="1" applyFill="1" applyBorder="1" applyAlignment="1">
      <alignment horizontal="center" vertical="center"/>
    </xf>
    <xf numFmtId="0" fontId="8" fillId="2" borderId="28" xfId="0" applyFont="1" applyFill="1" applyBorder="1" applyAlignment="1">
      <alignment vertical="center" wrapText="1"/>
    </xf>
    <xf numFmtId="0" fontId="29" fillId="2" borderId="59" xfId="0" applyFont="1" applyFill="1" applyBorder="1" applyAlignment="1">
      <alignment horizontal="center" vertical="center"/>
    </xf>
    <xf numFmtId="0" fontId="29" fillId="2" borderId="98" xfId="0" applyFont="1" applyFill="1" applyBorder="1" applyAlignment="1">
      <alignment horizontal="left" vertical="top"/>
    </xf>
    <xf numFmtId="0" fontId="29" fillId="2" borderId="99" xfId="0" applyFont="1" applyFill="1" applyBorder="1" applyAlignment="1">
      <alignment horizontal="left" vertical="top"/>
    </xf>
    <xf numFmtId="0" fontId="29" fillId="2" borderId="100" xfId="0" applyFont="1" applyFill="1" applyBorder="1" applyAlignment="1">
      <alignment horizontal="left" vertical="top"/>
    </xf>
    <xf numFmtId="0" fontId="29" fillId="2" borderId="60" xfId="0" applyFont="1" applyFill="1" applyBorder="1" applyAlignment="1">
      <alignment horizontal="center" vertical="center"/>
    </xf>
    <xf numFmtId="14" fontId="29" fillId="2" borderId="60" xfId="0" applyNumberFormat="1" applyFont="1" applyFill="1" applyBorder="1" applyAlignment="1">
      <alignment horizontal="center" vertical="center"/>
    </xf>
    <xf numFmtId="0" fontId="29" fillId="2" borderId="61" xfId="0" applyFont="1" applyFill="1" applyBorder="1" applyAlignment="1">
      <alignment vertical="center"/>
    </xf>
    <xf numFmtId="0" fontId="0" fillId="0" borderId="0" xfId="0"/>
    <xf numFmtId="0" fontId="29" fillId="2" borderId="36" xfId="0" applyFont="1" applyFill="1" applyBorder="1" applyAlignment="1">
      <alignment horizontal="center" vertical="center"/>
    </xf>
    <xf numFmtId="0" fontId="29" fillId="2" borderId="37" xfId="0" applyFont="1" applyFill="1" applyBorder="1" applyAlignment="1">
      <alignment horizontal="center" vertical="center"/>
    </xf>
    <xf numFmtId="0" fontId="32" fillId="2" borderId="1" xfId="0" applyFont="1" applyFill="1" applyBorder="1" applyAlignment="1">
      <alignment horizontal="center" vertical="center"/>
    </xf>
    <xf numFmtId="49" fontId="32" fillId="2" borderId="1" xfId="0" applyNumberFormat="1" applyFont="1" applyFill="1" applyBorder="1" applyAlignment="1">
      <alignment vertical="center" wrapText="1"/>
    </xf>
    <xf numFmtId="0" fontId="32" fillId="2" borderId="1" xfId="0" applyFont="1" applyFill="1" applyBorder="1" applyAlignment="1">
      <alignment horizontal="left" vertical="center" wrapText="1"/>
    </xf>
    <xf numFmtId="0" fontId="32" fillId="2" borderId="1" xfId="0" applyFont="1" applyFill="1" applyBorder="1" applyAlignment="1">
      <alignment vertical="center" wrapText="1"/>
    </xf>
    <xf numFmtId="14" fontId="35" fillId="2" borderId="27" xfId="0" applyNumberFormat="1" applyFont="1" applyFill="1" applyBorder="1" applyAlignment="1">
      <alignment horizontal="center" vertical="center"/>
    </xf>
    <xf numFmtId="0" fontId="35" fillId="2" borderId="27" xfId="0" applyFont="1" applyFill="1" applyBorder="1" applyAlignment="1">
      <alignment horizontal="center" vertical="top"/>
    </xf>
    <xf numFmtId="0" fontId="22" fillId="2" borderId="28" xfId="0" applyFont="1" applyFill="1" applyBorder="1" applyAlignment="1">
      <alignment horizontal="left" vertical="center" wrapText="1"/>
    </xf>
    <xf numFmtId="0" fontId="22" fillId="2" borderId="27" xfId="0" applyFont="1" applyFill="1" applyBorder="1" applyAlignment="1">
      <alignment horizontal="center" vertical="center" wrapText="1"/>
    </xf>
    <xf numFmtId="49" fontId="0" fillId="0" borderId="0" xfId="0" applyNumberFormat="1" applyAlignment="1">
      <alignment vertical="top"/>
    </xf>
    <xf numFmtId="0" fontId="0" fillId="0" borderId="0" xfId="0" applyAlignment="1">
      <alignment vertical="top"/>
    </xf>
    <xf numFmtId="0" fontId="32" fillId="2" borderId="1" xfId="0" applyFont="1" applyFill="1" applyBorder="1" applyAlignment="1">
      <alignment horizontal="left" vertical="top" wrapText="1"/>
    </xf>
    <xf numFmtId="49" fontId="32" fillId="0" borderId="1" xfId="0" applyNumberFormat="1" applyFont="1" applyBorder="1" applyAlignment="1">
      <alignment vertical="top" wrapText="1"/>
    </xf>
    <xf numFmtId="0" fontId="35" fillId="2" borderId="27" xfId="0" applyFont="1" applyFill="1" applyBorder="1" applyAlignment="1">
      <alignment horizontal="center" vertical="top" wrapText="1"/>
    </xf>
    <xf numFmtId="0" fontId="8" fillId="2" borderId="0" xfId="0" quotePrefix="1" applyFont="1" applyFill="1" applyAlignment="1">
      <alignment horizontal="left" vertical="top"/>
    </xf>
    <xf numFmtId="0" fontId="0" fillId="2" borderId="0" xfId="0" applyFill="1" applyAlignment="1">
      <alignment vertical="top"/>
    </xf>
    <xf numFmtId="0" fontId="5" fillId="9" borderId="10" xfId="0" applyFont="1" applyFill="1" applyBorder="1" applyAlignment="1">
      <alignment vertical="top"/>
    </xf>
    <xf numFmtId="0" fontId="5" fillId="2" borderId="0" xfId="0" applyFont="1" applyFill="1" applyAlignment="1">
      <alignment horizontal="left" vertical="top"/>
    </xf>
    <xf numFmtId="0" fontId="8" fillId="2" borderId="0" xfId="0" quotePrefix="1" applyFont="1" applyFill="1" applyAlignment="1">
      <alignment vertical="top"/>
    </xf>
    <xf numFmtId="0" fontId="0" fillId="0" borderId="1" xfId="0" applyNumberFormat="1" applyBorder="1"/>
    <xf numFmtId="0" fontId="0" fillId="2" borderId="0" xfId="0" applyNumberFormat="1" applyFill="1"/>
    <xf numFmtId="0" fontId="0" fillId="0" borderId="0" xfId="0" applyFill="1" applyAlignment="1">
      <alignment vertical="top"/>
    </xf>
    <xf numFmtId="0" fontId="0" fillId="2" borderId="1" xfId="0" applyNumberFormat="1" applyFill="1" applyBorder="1"/>
    <xf numFmtId="0" fontId="36" fillId="0" borderId="0" xfId="0" applyFont="1"/>
    <xf numFmtId="0" fontId="35" fillId="2" borderId="30" xfId="0" applyFont="1" applyFill="1" applyBorder="1" applyAlignment="1">
      <alignment horizontal="center" vertical="top"/>
    </xf>
    <xf numFmtId="14" fontId="35" fillId="2" borderId="30" xfId="0" applyNumberFormat="1" applyFont="1" applyFill="1" applyBorder="1" applyAlignment="1">
      <alignment horizontal="center" vertical="top"/>
    </xf>
    <xf numFmtId="0" fontId="35" fillId="2" borderId="30" xfId="0" applyFont="1" applyFill="1" applyBorder="1" applyAlignment="1">
      <alignment horizontal="left" vertical="top"/>
    </xf>
    <xf numFmtId="0" fontId="22" fillId="2" borderId="60" xfId="0" applyFont="1" applyFill="1" applyBorder="1" applyAlignment="1">
      <alignment horizontal="center" vertical="center" wrapText="1"/>
    </xf>
    <xf numFmtId="14" fontId="22" fillId="2" borderId="60" xfId="0" applyNumberFormat="1" applyFont="1" applyFill="1" applyBorder="1" applyAlignment="1">
      <alignment horizontal="center" vertical="center"/>
    </xf>
    <xf numFmtId="0" fontId="22" fillId="2" borderId="61" xfId="0" applyFont="1" applyFill="1" applyBorder="1" applyAlignment="1">
      <alignment horizontal="left" vertical="center" wrapText="1"/>
    </xf>
    <xf numFmtId="0" fontId="35" fillId="2" borderId="27" xfId="0" applyFont="1" applyFill="1" applyBorder="1" applyAlignment="1">
      <alignment horizontal="center" vertical="center" wrapText="1"/>
    </xf>
    <xf numFmtId="0" fontId="35" fillId="2" borderId="28" xfId="0" applyFont="1" applyFill="1" applyBorder="1" applyAlignment="1">
      <alignment horizontal="left" vertical="center" wrapText="1"/>
    </xf>
    <xf numFmtId="0" fontId="35" fillId="2" borderId="27" xfId="0" applyFont="1" applyFill="1" applyBorder="1" applyAlignment="1">
      <alignment horizontal="center" vertical="center"/>
    </xf>
    <xf numFmtId="0" fontId="29" fillId="2" borderId="28" xfId="0" applyFont="1" applyFill="1" applyBorder="1" applyAlignment="1">
      <alignment vertical="center" wrapText="1"/>
    </xf>
    <xf numFmtId="14" fontId="35" fillId="2" borderId="27" xfId="0" applyNumberFormat="1" applyFont="1" applyFill="1" applyBorder="1" applyAlignment="1">
      <alignment horizontal="center" vertical="center"/>
    </xf>
    <xf numFmtId="0" fontId="37" fillId="0" borderId="0" xfId="0" applyFont="1"/>
    <xf numFmtId="168" fontId="0" fillId="2" borderId="0" xfId="0" applyNumberFormat="1" applyFill="1"/>
    <xf numFmtId="168" fontId="0" fillId="0" borderId="1" xfId="0" applyNumberFormat="1" applyBorder="1"/>
    <xf numFmtId="168" fontId="8" fillId="2" borderId="9" xfId="0" applyNumberFormat="1" applyFont="1" applyFill="1" applyBorder="1" applyAlignment="1">
      <alignment horizontal="left" vertical="center"/>
    </xf>
    <xf numFmtId="0" fontId="35" fillId="2" borderId="44" xfId="0" applyFont="1" applyFill="1" applyBorder="1" applyAlignment="1">
      <alignment horizontal="center" vertical="center" wrapText="1"/>
    </xf>
    <xf numFmtId="14" fontId="35" fillId="2" borderId="33" xfId="0" applyNumberFormat="1" applyFont="1" applyFill="1" applyBorder="1" applyAlignment="1">
      <alignment horizontal="center" vertical="center"/>
    </xf>
    <xf numFmtId="0" fontId="35" fillId="2" borderId="47" xfId="0" applyFont="1" applyFill="1" applyBorder="1" applyAlignment="1">
      <alignment horizontal="left" vertical="center" wrapText="1"/>
    </xf>
    <xf numFmtId="0" fontId="29" fillId="2" borderId="45" xfId="0" applyFont="1" applyFill="1" applyBorder="1" applyAlignment="1">
      <alignment horizontal="left" vertical="top" wrapText="1"/>
    </xf>
    <xf numFmtId="0" fontId="29" fillId="2" borderId="32" xfId="0" applyFont="1" applyFill="1" applyBorder="1" applyAlignment="1">
      <alignment horizontal="left" vertical="top" wrapText="1"/>
    </xf>
    <xf numFmtId="0" fontId="24" fillId="3" borderId="0" xfId="0" applyFont="1" applyFill="1" applyBorder="1" applyAlignment="1">
      <alignment horizontal="center" vertical="center" wrapText="1"/>
    </xf>
    <xf numFmtId="0" fontId="0" fillId="0" borderId="0" xfId="0" applyAlignment="1">
      <alignment vertical="center" wrapText="1"/>
    </xf>
    <xf numFmtId="0" fontId="35" fillId="2" borderId="32" xfId="0" applyFont="1" applyFill="1" applyBorder="1" applyAlignment="1">
      <alignment horizontal="left" vertical="top" wrapText="1"/>
    </xf>
    <xf numFmtId="0" fontId="0" fillId="0" borderId="44" xfId="0" applyBorder="1" applyAlignment="1">
      <alignment vertical="center" wrapText="1"/>
    </xf>
    <xf numFmtId="0" fontId="36" fillId="0" borderId="44" xfId="0" applyFont="1" applyBorder="1" applyAlignment="1">
      <alignment vertical="center" wrapText="1"/>
    </xf>
    <xf numFmtId="0" fontId="37" fillId="0" borderId="44" xfId="0" applyFont="1" applyBorder="1" applyAlignment="1">
      <alignment vertical="center" wrapText="1"/>
    </xf>
    <xf numFmtId="0" fontId="40" fillId="0" borderId="0" xfId="0" applyFont="1" applyAlignment="1"/>
    <xf numFmtId="167" fontId="29" fillId="2" borderId="45" xfId="0" applyNumberFormat="1" applyFont="1" applyFill="1" applyBorder="1" applyAlignment="1">
      <alignment horizontal="center" vertical="top"/>
    </xf>
    <xf numFmtId="14" fontId="0" fillId="0" borderId="44" xfId="0" applyNumberFormat="1" applyBorder="1" applyAlignment="1">
      <alignment vertical="center" wrapText="1"/>
    </xf>
    <xf numFmtId="0" fontId="0" fillId="0" borderId="0" xfId="0" applyAlignment="1"/>
    <xf numFmtId="164" fontId="0" fillId="0" borderId="0" xfId="0" applyNumberFormat="1" applyAlignment="1">
      <alignment vertical="top"/>
    </xf>
    <xf numFmtId="14" fontId="35" fillId="0" borderId="27" xfId="0" applyNumberFormat="1" applyFont="1" applyFill="1" applyBorder="1" applyAlignment="1">
      <alignment horizontal="center" vertical="center"/>
    </xf>
    <xf numFmtId="0" fontId="8" fillId="2" borderId="67" xfId="0" applyFont="1" applyFill="1" applyBorder="1" applyAlignment="1">
      <alignment horizontal="left" vertical="center" wrapText="1"/>
    </xf>
    <xf numFmtId="0" fontId="8" fillId="2" borderId="68" xfId="0" applyFont="1" applyFill="1" applyBorder="1" applyAlignment="1">
      <alignment horizontal="left" vertical="center" wrapText="1"/>
    </xf>
    <xf numFmtId="0" fontId="8" fillId="2" borderId="69" xfId="0" applyFont="1" applyFill="1" applyBorder="1" applyAlignment="1">
      <alignment horizontal="left" vertical="center" wrapText="1"/>
    </xf>
    <xf numFmtId="0" fontId="21" fillId="2" borderId="0" xfId="0" applyFont="1" applyFill="1" applyAlignment="1">
      <alignment horizontal="left" vertical="top" wrapText="1"/>
    </xf>
    <xf numFmtId="0" fontId="8" fillId="2" borderId="97" xfId="0" applyFont="1" applyFill="1" applyBorder="1" applyAlignment="1">
      <alignment horizontal="left" vertical="center" wrapText="1"/>
    </xf>
    <xf numFmtId="0" fontId="18" fillId="2" borderId="0" xfId="0" quotePrefix="1" applyFont="1" applyFill="1" applyAlignment="1">
      <alignment horizontal="left" vertical="top" wrapText="1"/>
    </xf>
    <xf numFmtId="0" fontId="8" fillId="2" borderId="9" xfId="0" applyFont="1" applyFill="1" applyBorder="1" applyAlignment="1">
      <alignment horizontal="left" vertical="top" wrapText="1"/>
    </xf>
    <xf numFmtId="0" fontId="22" fillId="2" borderId="73" xfId="0" applyFont="1" applyFill="1" applyBorder="1" applyAlignment="1">
      <alignment horizontal="left" vertical="center" wrapText="1"/>
    </xf>
    <xf numFmtId="0" fontId="22" fillId="2" borderId="74" xfId="0" applyFont="1" applyFill="1" applyBorder="1" applyAlignment="1">
      <alignment horizontal="left" vertical="center" wrapText="1"/>
    </xf>
    <xf numFmtId="0" fontId="22" fillId="2" borderId="89" xfId="0" applyFont="1" applyFill="1" applyBorder="1" applyAlignment="1">
      <alignment horizontal="left" vertical="center" wrapText="1"/>
    </xf>
    <xf numFmtId="0" fontId="8" fillId="2" borderId="0" xfId="0" quotePrefix="1" applyFont="1" applyFill="1" applyAlignment="1">
      <alignment horizontal="left" vertical="top" wrapText="1"/>
    </xf>
    <xf numFmtId="0" fontId="8" fillId="2" borderId="0" xfId="0" applyFont="1" applyFill="1" applyAlignment="1">
      <alignment horizontal="left" vertical="top"/>
    </xf>
    <xf numFmtId="0" fontId="12" fillId="2" borderId="0" xfId="0" applyFont="1" applyFill="1" applyAlignment="1">
      <alignment horizontal="left" vertical="center"/>
    </xf>
    <xf numFmtId="0" fontId="12" fillId="2" borderId="9" xfId="0" applyFont="1" applyFill="1" applyBorder="1" applyAlignment="1">
      <alignment horizontal="left" vertical="center"/>
    </xf>
    <xf numFmtId="0" fontId="8" fillId="2" borderId="9" xfId="0" applyFont="1" applyFill="1" applyBorder="1" applyAlignment="1">
      <alignment horizontal="left" vertical="center"/>
    </xf>
    <xf numFmtId="0" fontId="18" fillId="2" borderId="0" xfId="0" applyFont="1" applyFill="1" applyAlignment="1">
      <alignment horizontal="left" vertical="top" wrapText="1"/>
    </xf>
    <xf numFmtId="0" fontId="8" fillId="2" borderId="0" xfId="0" applyFont="1" applyFill="1" applyAlignment="1">
      <alignment horizontal="left" vertical="top" wrapText="1"/>
    </xf>
    <xf numFmtId="0" fontId="19" fillId="2" borderId="0" xfId="0" quotePrefix="1" applyFont="1" applyFill="1" applyAlignment="1">
      <alignment horizontal="left" vertical="top" wrapText="1"/>
    </xf>
    <xf numFmtId="0" fontId="20" fillId="2" borderId="0" xfId="0" applyFont="1" applyFill="1" applyAlignment="1">
      <alignment horizontal="left" vertical="top" wrapText="1"/>
    </xf>
    <xf numFmtId="11" fontId="8" fillId="2" borderId="9" xfId="0" applyNumberFormat="1" applyFont="1" applyFill="1" applyBorder="1" applyAlignment="1">
      <alignment horizontal="left" vertical="center"/>
    </xf>
    <xf numFmtId="0" fontId="8" fillId="2" borderId="0" xfId="0" quotePrefix="1" applyFont="1" applyFill="1" applyAlignment="1">
      <alignment horizontal="left" vertical="top"/>
    </xf>
    <xf numFmtId="0" fontId="13" fillId="2" borderId="0" xfId="0" applyFont="1" applyFill="1" applyAlignment="1">
      <alignment horizontal="left" vertical="top"/>
    </xf>
    <xf numFmtId="0" fontId="22" fillId="2" borderId="73" xfId="0" applyFont="1" applyFill="1" applyBorder="1" applyAlignment="1">
      <alignment horizontal="left" vertical="top" wrapText="1"/>
    </xf>
    <xf numFmtId="0" fontId="22" fillId="2" borderId="74" xfId="0" applyFont="1" applyFill="1" applyBorder="1" applyAlignment="1">
      <alignment horizontal="left" vertical="top" wrapText="1"/>
    </xf>
    <xf numFmtId="0" fontId="22" fillId="2" borderId="89" xfId="0" applyFont="1" applyFill="1" applyBorder="1" applyAlignment="1">
      <alignment horizontal="left" vertical="top" wrapText="1"/>
    </xf>
    <xf numFmtId="49" fontId="22" fillId="2" borderId="73" xfId="0" applyNumberFormat="1" applyFont="1" applyFill="1" applyBorder="1" applyAlignment="1">
      <alignment horizontal="left" vertical="center" wrapText="1"/>
    </xf>
    <xf numFmtId="49" fontId="22" fillId="2" borderId="74" xfId="0" applyNumberFormat="1" applyFont="1" applyFill="1" applyBorder="1" applyAlignment="1">
      <alignment horizontal="left" vertical="center" wrapText="1"/>
    </xf>
    <xf numFmtId="49" fontId="22" fillId="2" borderId="75" xfId="0" applyNumberFormat="1" applyFont="1" applyFill="1" applyBorder="1" applyAlignment="1">
      <alignment horizontal="left" vertical="center" wrapText="1"/>
    </xf>
    <xf numFmtId="0" fontId="22" fillId="2" borderId="78" xfId="0" applyFont="1" applyFill="1" applyBorder="1" applyAlignment="1">
      <alignment horizontal="left" vertical="center" wrapText="1"/>
    </xf>
    <xf numFmtId="0" fontId="22" fillId="2" borderId="79" xfId="0" applyFont="1" applyFill="1" applyBorder="1" applyAlignment="1">
      <alignment horizontal="left" vertical="center" wrapText="1"/>
    </xf>
    <xf numFmtId="0" fontId="22" fillId="2" borderId="80" xfId="0" applyFont="1" applyFill="1" applyBorder="1" applyAlignment="1">
      <alignment horizontal="left" vertical="center" wrapText="1"/>
    </xf>
    <xf numFmtId="0" fontId="22" fillId="2" borderId="103" xfId="0" applyFont="1" applyFill="1" applyBorder="1" applyAlignment="1">
      <alignment horizontal="left" vertical="center" wrapText="1"/>
    </xf>
    <xf numFmtId="0" fontId="22" fillId="2" borderId="87" xfId="0" applyFont="1" applyFill="1" applyBorder="1" applyAlignment="1">
      <alignment horizontal="left" vertical="center" wrapText="1"/>
    </xf>
    <xf numFmtId="0" fontId="22" fillId="2" borderId="104" xfId="0" applyFont="1" applyFill="1" applyBorder="1" applyAlignment="1">
      <alignment horizontal="left" vertical="center" wrapText="1"/>
    </xf>
    <xf numFmtId="0" fontId="22" fillId="2" borderId="75" xfId="0" applyFont="1" applyFill="1" applyBorder="1" applyAlignment="1">
      <alignment horizontal="left" vertical="center" wrapText="1"/>
    </xf>
    <xf numFmtId="0" fontId="8" fillId="0" borderId="11" xfId="0" applyFont="1" applyFill="1" applyBorder="1" applyAlignment="1">
      <alignment horizontal="left" vertical="top" wrapText="1"/>
    </xf>
    <xf numFmtId="0" fontId="8" fillId="0" borderId="12" xfId="0" applyFont="1" applyFill="1" applyBorder="1" applyAlignment="1">
      <alignment horizontal="left" vertical="top" wrapText="1"/>
    </xf>
    <xf numFmtId="0" fontId="8" fillId="0" borderId="13" xfId="0" applyFont="1" applyFill="1" applyBorder="1" applyAlignment="1">
      <alignment horizontal="left" vertical="top" wrapText="1"/>
    </xf>
    <xf numFmtId="0" fontId="8" fillId="0" borderId="14" xfId="0" applyFont="1" applyFill="1" applyBorder="1" applyAlignment="1">
      <alignment horizontal="left" vertical="top" wrapText="1"/>
    </xf>
    <xf numFmtId="0" fontId="8" fillId="0" borderId="1" xfId="0" applyFont="1" applyFill="1" applyBorder="1" applyAlignment="1">
      <alignment horizontal="left" vertical="top" wrapText="1"/>
    </xf>
    <xf numFmtId="0" fontId="8" fillId="0" borderId="15" xfId="0" applyFont="1" applyFill="1" applyBorder="1" applyAlignment="1">
      <alignment horizontal="left" vertical="top" wrapText="1"/>
    </xf>
    <xf numFmtId="0" fontId="8" fillId="0" borderId="16" xfId="0" applyFont="1" applyFill="1" applyBorder="1" applyAlignment="1">
      <alignment horizontal="left" vertical="top" wrapText="1"/>
    </xf>
    <xf numFmtId="0" fontId="8" fillId="0" borderId="17" xfId="0" applyFont="1" applyFill="1" applyBorder="1" applyAlignment="1">
      <alignment horizontal="left" vertical="top" wrapText="1"/>
    </xf>
    <xf numFmtId="0" fontId="8" fillId="0" borderId="18" xfId="0" applyFont="1" applyFill="1" applyBorder="1" applyAlignment="1">
      <alignment horizontal="left" vertical="top" wrapText="1"/>
    </xf>
    <xf numFmtId="0" fontId="8" fillId="2" borderId="71" xfId="0" applyFont="1" applyFill="1" applyBorder="1" applyAlignment="1">
      <alignment horizontal="left" vertical="center" wrapText="1"/>
    </xf>
    <xf numFmtId="0" fontId="8" fillId="2" borderId="68" xfId="0" applyFont="1" applyFill="1" applyBorder="1" applyAlignment="1">
      <alignment horizontal="left" vertical="center"/>
    </xf>
    <xf numFmtId="0" fontId="8" fillId="2" borderId="69" xfId="0" applyFont="1" applyFill="1" applyBorder="1" applyAlignment="1">
      <alignment horizontal="left" vertical="center"/>
    </xf>
    <xf numFmtId="0" fontId="8" fillId="2" borderId="63" xfId="0" applyFont="1" applyFill="1" applyBorder="1" applyAlignment="1">
      <alignment horizontal="left" vertical="center" wrapText="1"/>
    </xf>
    <xf numFmtId="0" fontId="22" fillId="2" borderId="76" xfId="0" applyFont="1" applyFill="1" applyBorder="1" applyAlignment="1">
      <alignment horizontal="left" vertical="center" wrapText="1"/>
    </xf>
    <xf numFmtId="0" fontId="22" fillId="2" borderId="77" xfId="0" applyFont="1" applyFill="1" applyBorder="1" applyAlignment="1">
      <alignment horizontal="left" vertical="center" wrapText="1"/>
    </xf>
    <xf numFmtId="49" fontId="22" fillId="2" borderId="50" xfId="0" applyNumberFormat="1" applyFont="1" applyFill="1" applyBorder="1" applyAlignment="1">
      <alignment horizontal="left" vertical="center" wrapText="1"/>
    </xf>
    <xf numFmtId="0" fontId="12" fillId="2" borderId="22" xfId="0" applyFont="1" applyFill="1" applyBorder="1" applyAlignment="1">
      <alignment horizontal="left"/>
    </xf>
    <xf numFmtId="0" fontId="22" fillId="2" borderId="67" xfId="0" applyFont="1" applyFill="1" applyBorder="1" applyAlignment="1">
      <alignment horizontal="left" vertical="center" wrapText="1"/>
    </xf>
    <xf numFmtId="0" fontId="22" fillId="2" borderId="68" xfId="0" applyFont="1" applyFill="1" applyBorder="1" applyAlignment="1">
      <alignment horizontal="left" vertical="center" wrapText="1"/>
    </xf>
    <xf numFmtId="0" fontId="22" fillId="2" borderId="69" xfId="0" applyFont="1" applyFill="1" applyBorder="1" applyAlignment="1">
      <alignment horizontal="left" vertical="center" wrapText="1"/>
    </xf>
    <xf numFmtId="0" fontId="25" fillId="7" borderId="82" xfId="0" applyFont="1" applyFill="1" applyBorder="1" applyAlignment="1">
      <alignment horizontal="left" vertical="center"/>
    </xf>
    <xf numFmtId="0" fontId="25" fillId="7" borderId="83" xfId="0" applyFont="1" applyFill="1" applyBorder="1" applyAlignment="1">
      <alignment horizontal="left" vertical="center"/>
    </xf>
    <xf numFmtId="0" fontId="25" fillId="7" borderId="84" xfId="0" applyFont="1" applyFill="1" applyBorder="1" applyAlignment="1">
      <alignment horizontal="left" vertical="center"/>
    </xf>
    <xf numFmtId="0" fontId="23" fillId="3" borderId="86" xfId="0" applyFont="1" applyFill="1" applyBorder="1" applyAlignment="1">
      <alignment horizontal="left" vertical="center"/>
    </xf>
    <xf numFmtId="0" fontId="23" fillId="3" borderId="87" xfId="0" applyFont="1" applyFill="1" applyBorder="1" applyAlignment="1">
      <alignment horizontal="left" vertical="center"/>
    </xf>
    <xf numFmtId="0" fontId="23" fillId="3" borderId="88" xfId="0" applyFont="1" applyFill="1" applyBorder="1" applyAlignment="1">
      <alignment horizontal="left" vertical="center"/>
    </xf>
    <xf numFmtId="0" fontId="22" fillId="2" borderId="90" xfId="0" applyFont="1" applyFill="1" applyBorder="1" applyAlignment="1">
      <alignment horizontal="left" vertical="center" wrapText="1"/>
    </xf>
    <xf numFmtId="0" fontId="22" fillId="2" borderId="22" xfId="0" applyFont="1" applyFill="1" applyBorder="1" applyAlignment="1">
      <alignment horizontal="left" vertical="center" wrapText="1"/>
    </xf>
    <xf numFmtId="0" fontId="22" fillId="2" borderId="91" xfId="0" applyFont="1" applyFill="1" applyBorder="1" applyAlignment="1">
      <alignment horizontal="left" vertical="center" wrapText="1"/>
    </xf>
    <xf numFmtId="0" fontId="2" fillId="2" borderId="0" xfId="0" applyFont="1" applyFill="1" applyAlignment="1">
      <alignment horizontal="center" wrapText="1"/>
    </xf>
    <xf numFmtId="0" fontId="27" fillId="4" borderId="4" xfId="0" applyFont="1" applyFill="1" applyBorder="1" applyAlignment="1">
      <alignment horizontal="left" vertical="top"/>
    </xf>
    <xf numFmtId="0" fontId="27" fillId="4" borderId="0" xfId="0" applyFont="1" applyFill="1" applyAlignment="1">
      <alignment horizontal="left" vertical="top"/>
    </xf>
    <xf numFmtId="0" fontId="35" fillId="2" borderId="101" xfId="0" applyFont="1" applyFill="1" applyBorder="1" applyAlignment="1">
      <alignment horizontal="left" vertical="top" wrapText="1"/>
    </xf>
    <xf numFmtId="0" fontId="35" fillId="2" borderId="56" xfId="0" applyFont="1" applyFill="1" applyBorder="1" applyAlignment="1">
      <alignment horizontal="left" vertical="top" wrapText="1"/>
    </xf>
    <xf numFmtId="0" fontId="35" fillId="2" borderId="102" xfId="0" applyFont="1" applyFill="1" applyBorder="1" applyAlignment="1">
      <alignment horizontal="left" vertical="top" wrapText="1"/>
    </xf>
    <xf numFmtId="0" fontId="35" fillId="2" borderId="115" xfId="0" applyFont="1" applyFill="1" applyBorder="1" applyAlignment="1">
      <alignment horizontal="left" vertical="center" wrapText="1"/>
    </xf>
    <xf numFmtId="0" fontId="35" fillId="2" borderId="74" xfId="0" applyFont="1" applyFill="1" applyBorder="1" applyAlignment="1">
      <alignment horizontal="left" vertical="center" wrapText="1"/>
    </xf>
    <xf numFmtId="0" fontId="35" fillId="2" borderId="89" xfId="0" applyFont="1" applyFill="1" applyBorder="1" applyAlignment="1">
      <alignment horizontal="left" vertical="center" wrapText="1"/>
    </xf>
    <xf numFmtId="0" fontId="29" fillId="2" borderId="45" xfId="0" applyFont="1" applyFill="1" applyBorder="1" applyAlignment="1">
      <alignment horizontal="left"/>
    </xf>
    <xf numFmtId="0" fontId="29" fillId="2" borderId="46" xfId="0" applyFont="1" applyFill="1" applyBorder="1" applyAlignment="1">
      <alignment horizontal="left"/>
    </xf>
    <xf numFmtId="0" fontId="29" fillId="2" borderId="47" xfId="0" applyFont="1" applyFill="1" applyBorder="1" applyAlignment="1">
      <alignment horizontal="left"/>
    </xf>
    <xf numFmtId="0" fontId="29" fillId="2" borderId="105" xfId="0" applyFont="1" applyFill="1" applyBorder="1" applyAlignment="1">
      <alignment horizontal="left" vertical="top" wrapText="1"/>
    </xf>
    <xf numFmtId="0" fontId="29" fillId="2" borderId="46" xfId="0" applyFont="1" applyFill="1" applyBorder="1" applyAlignment="1">
      <alignment horizontal="left" vertical="top" wrapText="1"/>
    </xf>
    <xf numFmtId="0" fontId="29" fillId="2" borderId="106" xfId="0" applyFont="1" applyFill="1" applyBorder="1" applyAlignment="1">
      <alignment horizontal="left" vertical="top" wrapText="1"/>
    </xf>
    <xf numFmtId="0" fontId="29" fillId="2" borderId="31" xfId="0" applyFont="1" applyFill="1" applyBorder="1" applyAlignment="1">
      <alignment horizontal="left" vertical="top" wrapText="1"/>
    </xf>
    <xf numFmtId="0" fontId="29" fillId="2" borderId="32" xfId="0" applyFont="1" applyFill="1" applyBorder="1" applyAlignment="1">
      <alignment horizontal="left" vertical="top" wrapText="1"/>
    </xf>
    <xf numFmtId="0" fontId="29" fillId="2" borderId="33" xfId="0" applyFont="1" applyFill="1" applyBorder="1" applyAlignment="1">
      <alignment horizontal="left" vertical="top" wrapText="1"/>
    </xf>
    <xf numFmtId="0" fontId="35" fillId="2" borderId="107" xfId="0" applyFont="1" applyFill="1" applyBorder="1" applyAlignment="1">
      <alignment horizontal="left" vertical="top" wrapText="1"/>
    </xf>
    <xf numFmtId="0" fontId="35" fillId="2" borderId="108" xfId="0" applyFont="1" applyFill="1" applyBorder="1" applyAlignment="1">
      <alignment horizontal="left" vertical="top" wrapText="1"/>
    </xf>
    <xf numFmtId="0" fontId="35" fillId="2" borderId="109" xfId="0" applyFont="1" applyFill="1" applyBorder="1" applyAlignment="1">
      <alignment horizontal="left" vertical="top" wrapText="1"/>
    </xf>
    <xf numFmtId="0" fontId="35" fillId="2" borderId="111" xfId="0" applyFont="1" applyFill="1" applyBorder="1" applyAlignment="1">
      <alignment horizontal="left" vertical="center" wrapText="1"/>
    </xf>
    <xf numFmtId="0" fontId="35" fillId="2" borderId="112" xfId="0" applyFont="1" applyFill="1" applyBorder="1" applyAlignment="1">
      <alignment horizontal="left" vertical="center" wrapText="1"/>
    </xf>
    <xf numFmtId="0" fontId="35" fillId="2" borderId="113" xfId="0" applyFont="1" applyFill="1" applyBorder="1" applyAlignment="1">
      <alignment horizontal="left" vertical="center" wrapText="1"/>
    </xf>
    <xf numFmtId="0" fontId="29" fillId="2" borderId="67" xfId="0" applyFont="1" applyFill="1" applyBorder="1" applyAlignment="1">
      <alignment horizontal="left" vertical="center" wrapText="1"/>
    </xf>
    <xf numFmtId="0" fontId="29" fillId="2" borderId="68" xfId="0" applyFont="1" applyFill="1" applyBorder="1" applyAlignment="1">
      <alignment horizontal="left" vertical="center" wrapText="1"/>
    </xf>
    <xf numFmtId="0" fontId="29" fillId="2" borderId="69" xfId="0" applyFont="1" applyFill="1" applyBorder="1" applyAlignment="1">
      <alignment horizontal="left" vertical="center" wrapText="1"/>
    </xf>
    <xf numFmtId="0" fontId="35" fillId="2" borderId="73" xfId="0" applyFont="1" applyFill="1" applyBorder="1" applyAlignment="1">
      <alignment horizontal="left" vertical="center" wrapText="1"/>
    </xf>
    <xf numFmtId="0" fontId="29" fillId="2" borderId="52" xfId="0" applyFont="1" applyFill="1" applyBorder="1" applyAlignment="1">
      <alignment horizontal="left" vertical="top" wrapText="1"/>
    </xf>
    <xf numFmtId="0" fontId="29" fillId="2" borderId="53" xfId="0" applyFont="1" applyFill="1" applyBorder="1" applyAlignment="1">
      <alignment horizontal="left" vertical="top" wrapText="1"/>
    </xf>
    <xf numFmtId="0" fontId="29" fillId="2" borderId="58" xfId="0" applyFont="1" applyFill="1" applyBorder="1" applyAlignment="1">
      <alignment horizontal="left" vertical="top" wrapText="1"/>
    </xf>
    <xf numFmtId="0" fontId="25" fillId="7" borderId="51" xfId="0" applyFont="1" applyFill="1" applyBorder="1" applyAlignment="1">
      <alignment horizontal="left" vertical="center"/>
    </xf>
    <xf numFmtId="0" fontId="25" fillId="7" borderId="24" xfId="0" applyFont="1" applyFill="1" applyBorder="1" applyAlignment="1">
      <alignment horizontal="left" vertical="center"/>
    </xf>
    <xf numFmtId="0" fontId="25" fillId="7" borderId="26" xfId="0" applyFont="1" applyFill="1" applyBorder="1" applyAlignment="1">
      <alignment horizontal="left" vertical="center"/>
    </xf>
    <xf numFmtId="0" fontId="25" fillId="7" borderId="27" xfId="0" applyFont="1" applyFill="1" applyBorder="1" applyAlignment="1">
      <alignment horizontal="left" vertical="center"/>
    </xf>
    <xf numFmtId="0" fontId="26" fillId="7" borderId="49" xfId="0" applyFont="1" applyFill="1" applyBorder="1" applyAlignment="1">
      <alignment horizontal="center" vertical="center" wrapText="1"/>
    </xf>
    <xf numFmtId="0" fontId="26" fillId="7" borderId="28" xfId="0" applyFont="1" applyFill="1" applyBorder="1" applyAlignment="1">
      <alignment horizontal="center" vertical="center" wrapText="1"/>
    </xf>
    <xf numFmtId="0" fontId="28" fillId="4" borderId="4" xfId="0" applyFont="1" applyFill="1" applyBorder="1" applyAlignment="1">
      <alignment horizontal="left" vertical="top"/>
    </xf>
    <xf numFmtId="0" fontId="28" fillId="4" borderId="0" xfId="0" applyFont="1" applyFill="1" applyAlignment="1">
      <alignment horizontal="left" vertical="top"/>
    </xf>
    <xf numFmtId="0" fontId="29" fillId="2" borderId="110" xfId="0" applyFont="1" applyFill="1" applyBorder="1" applyAlignment="1">
      <alignment horizontal="left" vertical="top" wrapText="1"/>
    </xf>
    <xf numFmtId="0" fontId="35" fillId="2" borderId="55" xfId="0" applyFont="1" applyFill="1" applyBorder="1" applyAlignment="1">
      <alignment horizontal="left" vertical="top" wrapText="1"/>
    </xf>
    <xf numFmtId="0" fontId="26" fillId="7" borderId="49" xfId="0" applyFont="1" applyFill="1" applyBorder="1" applyAlignment="1">
      <alignment horizontal="center" vertical="center"/>
    </xf>
    <xf numFmtId="0" fontId="26" fillId="7" borderId="28" xfId="0" applyFont="1" applyFill="1" applyBorder="1" applyAlignment="1">
      <alignment horizontal="center" vertical="center"/>
    </xf>
    <xf numFmtId="0" fontId="23" fillId="3" borderId="23" xfId="0" applyFont="1" applyFill="1" applyBorder="1" applyAlignment="1">
      <alignment horizontal="left" vertical="center"/>
    </xf>
    <xf numFmtId="0" fontId="23" fillId="3" borderId="24" xfId="0" applyFont="1" applyFill="1" applyBorder="1" applyAlignment="1">
      <alignment horizontal="left" vertical="center"/>
    </xf>
    <xf numFmtId="0" fontId="35" fillId="2" borderId="114" xfId="0" applyFont="1" applyFill="1" applyBorder="1" applyAlignment="1">
      <alignment horizontal="left" vertical="center" wrapText="1"/>
    </xf>
    <xf numFmtId="0" fontId="35" fillId="2" borderId="87" xfId="0" applyFont="1" applyFill="1" applyBorder="1" applyAlignment="1">
      <alignment horizontal="left" vertical="center" wrapText="1"/>
    </xf>
    <xf numFmtId="0" fontId="35" fillId="2" borderId="88" xfId="0" applyFont="1" applyFill="1" applyBorder="1" applyAlignment="1">
      <alignment horizontal="left" vertical="center" wrapText="1"/>
    </xf>
    <xf numFmtId="0" fontId="35" fillId="2" borderId="30" xfId="0" applyFont="1" applyFill="1" applyBorder="1" applyAlignment="1">
      <alignment horizontal="left" vertical="top" wrapText="1"/>
    </xf>
    <xf numFmtId="0" fontId="26" fillId="7" borderId="24" xfId="0" applyFont="1" applyFill="1" applyBorder="1" applyAlignment="1">
      <alignment horizontal="center" vertical="center" wrapText="1"/>
    </xf>
    <xf numFmtId="0" fontId="26" fillId="7" borderId="27" xfId="0" applyFont="1" applyFill="1" applyBorder="1" applyAlignment="1">
      <alignment horizontal="center" vertical="center" wrapText="1"/>
    </xf>
    <xf numFmtId="0" fontId="26" fillId="7" borderId="24" xfId="0" applyFont="1" applyFill="1" applyBorder="1" applyAlignment="1">
      <alignment horizontal="center" vertical="center"/>
    </xf>
    <xf numFmtId="0" fontId="26" fillId="7" borderId="27" xfId="0" applyFont="1" applyFill="1" applyBorder="1" applyAlignment="1">
      <alignment horizontal="center" vertical="center"/>
    </xf>
    <xf numFmtId="0" fontId="29" fillId="2" borderId="45" xfId="0" applyFont="1" applyFill="1" applyBorder="1" applyAlignment="1">
      <alignment horizontal="left" vertical="top" wrapText="1"/>
    </xf>
    <xf numFmtId="0" fontId="29" fillId="2" borderId="47" xfId="0" applyFont="1" applyFill="1" applyBorder="1" applyAlignment="1">
      <alignment horizontal="left" vertical="top" wrapText="1"/>
    </xf>
    <xf numFmtId="0" fontId="29" fillId="2" borderId="54" xfId="0" applyFont="1" applyFill="1" applyBorder="1" applyAlignment="1">
      <alignment horizontal="left" vertical="top" wrapText="1"/>
    </xf>
    <xf numFmtId="0" fontId="29" fillId="2" borderId="55" xfId="0" applyFont="1" applyFill="1" applyBorder="1" applyAlignment="1">
      <alignment horizontal="left" vertical="top" wrapText="1"/>
    </xf>
    <xf numFmtId="0" fontId="29" fillId="2" borderId="56" xfId="0" applyFont="1" applyFill="1" applyBorder="1" applyAlignment="1">
      <alignment horizontal="left" vertical="top" wrapText="1"/>
    </xf>
    <xf numFmtId="0" fontId="29" fillId="2" borderId="57" xfId="0" applyFont="1" applyFill="1" applyBorder="1" applyAlignment="1">
      <alignment horizontal="left" vertical="top" wrapText="1"/>
    </xf>
    <xf numFmtId="0" fontId="26" fillId="7" borderId="65" xfId="0" applyFont="1" applyFill="1" applyBorder="1" applyAlignment="1">
      <alignment horizontal="center" vertical="center" wrapText="1"/>
    </xf>
    <xf numFmtId="0" fontId="29" fillId="2" borderId="45" xfId="0" applyFont="1" applyFill="1" applyBorder="1" applyAlignment="1">
      <alignment horizontal="left" wrapText="1"/>
    </xf>
    <xf numFmtId="0" fontId="29" fillId="2" borderId="46" xfId="0" applyFont="1" applyFill="1" applyBorder="1" applyAlignment="1">
      <alignment horizontal="left" wrapText="1"/>
    </xf>
    <xf numFmtId="0" fontId="29" fillId="2" borderId="47" xfId="0" applyFont="1" applyFill="1" applyBorder="1" applyAlignment="1">
      <alignment horizontal="left" wrapText="1"/>
    </xf>
    <xf numFmtId="0" fontId="29" fillId="2" borderId="45" xfId="0" applyFont="1" applyFill="1" applyBorder="1" applyAlignment="1">
      <alignment horizontal="left" vertical="top"/>
    </xf>
    <xf numFmtId="0" fontId="29" fillId="2" borderId="46" xfId="0" applyFont="1" applyFill="1" applyBorder="1" applyAlignment="1">
      <alignment horizontal="left" vertical="top"/>
    </xf>
    <xf numFmtId="0" fontId="29" fillId="2" borderId="47" xfId="0" applyFont="1" applyFill="1" applyBorder="1" applyAlignment="1">
      <alignment horizontal="left" vertical="top"/>
    </xf>
  </cellXfs>
  <cellStyles count="1">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0" tint="-4.9989318521683403E-2"/>
        </patternFill>
      </fill>
    </dxf>
  </dxfs>
  <tableStyles count="0" defaultTableStyle="TableStyleMedium2" defaultPivotStyle="PivotStyleLight16"/>
  <colors>
    <mruColors>
      <color rgb="FF8EA7C0"/>
      <color rgb="FF004089"/>
      <color rgb="FF39A934"/>
      <color rgb="FF5A7DA1"/>
      <color rgb="FFAB0C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b="1">
                <a:solidFill>
                  <a:sysClr val="windowText" lastClr="000000"/>
                </a:solidFill>
              </a:rPr>
              <a:t>KPI History: Number of Major Incidents LTM/Current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4.5016592680132056E-2"/>
          <c:y val="0.18420036774042808"/>
          <c:w val="0.84414577238403143"/>
          <c:h val="0.69481063698484835"/>
        </c:manualLayout>
      </c:layout>
      <c:barChart>
        <c:barDir val="col"/>
        <c:grouping val="clustered"/>
        <c:varyColors val="0"/>
        <c:ser>
          <c:idx val="2"/>
          <c:order val="1"/>
          <c:tx>
            <c:strRef>
              <c:f>History!$D$4</c:f>
              <c:strCache>
                <c:ptCount val="1"/>
                <c:pt idx="0">
                  <c:v>Current month</c:v>
                </c:pt>
              </c:strCache>
            </c:strRef>
          </c:tx>
          <c:spPr>
            <a:solidFill>
              <a:srgbClr val="0070C0"/>
            </a:solidFill>
            <a:ln>
              <a:noFill/>
            </a:ln>
            <a:effectLst/>
          </c:spPr>
          <c:invertIfNegative val="0"/>
          <c:dLbls>
            <c:dLbl>
              <c:idx val="9"/>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99-4C8E-A28C-F7158B72413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History!$B$5:$B$56</c15:sqref>
                  </c15:fullRef>
                </c:ext>
              </c:extLst>
              <c:f>(History!$B$5:$B$41,History!$B$44:$B$56)</c:f>
              <c:numCache>
                <c:formatCode>[$-409]mmm\-yy;@</c:formatCode>
                <c:ptCount val="13"/>
                <c:pt idx="0">
                  <c:v>44677</c:v>
                </c:pt>
                <c:pt idx="1">
                  <c:v>44708</c:v>
                </c:pt>
                <c:pt idx="2">
                  <c:v>44739</c:v>
                </c:pt>
                <c:pt idx="3">
                  <c:v>44770</c:v>
                </c:pt>
                <c:pt idx="4">
                  <c:v>44801</c:v>
                </c:pt>
                <c:pt idx="5">
                  <c:v>44832</c:v>
                </c:pt>
                <c:pt idx="6">
                  <c:v>44863</c:v>
                </c:pt>
                <c:pt idx="7">
                  <c:v>44894</c:v>
                </c:pt>
                <c:pt idx="8">
                  <c:v>44925</c:v>
                </c:pt>
                <c:pt idx="9">
                  <c:v>44956</c:v>
                </c:pt>
                <c:pt idx="10">
                  <c:v>44977</c:v>
                </c:pt>
                <c:pt idx="11">
                  <c:v>45005</c:v>
                </c:pt>
                <c:pt idx="12">
                  <c:v>45036</c:v>
                </c:pt>
              </c:numCache>
            </c:numRef>
          </c:cat>
          <c:val>
            <c:numRef>
              <c:extLst>
                <c:ext xmlns:c15="http://schemas.microsoft.com/office/drawing/2012/chart" uri="{02D57815-91ED-43cb-92C2-25804820EDAC}">
                  <c15:fullRef>
                    <c15:sqref>History!$D$5:$D$56</c15:sqref>
                  </c15:fullRef>
                </c:ext>
              </c:extLst>
              <c:f>(History!$D$5:$D$41,History!$D$44:$D$56)</c:f>
              <c:numCache>
                <c:formatCode>General</c:formatCode>
                <c:ptCount val="13"/>
                <c:pt idx="0">
                  <c:v>6</c:v>
                </c:pt>
                <c:pt idx="1">
                  <c:v>8</c:v>
                </c:pt>
                <c:pt idx="2">
                  <c:v>8</c:v>
                </c:pt>
                <c:pt idx="3">
                  <c:v>8</c:v>
                </c:pt>
                <c:pt idx="4">
                  <c:v>5</c:v>
                </c:pt>
                <c:pt idx="5">
                  <c:v>8</c:v>
                </c:pt>
                <c:pt idx="6">
                  <c:v>13</c:v>
                </c:pt>
                <c:pt idx="7">
                  <c:v>6</c:v>
                </c:pt>
                <c:pt idx="8">
                  <c:v>8</c:v>
                </c:pt>
                <c:pt idx="9">
                  <c:v>11</c:v>
                </c:pt>
                <c:pt idx="10">
                  <c:v>9</c:v>
                </c:pt>
                <c:pt idx="11">
                  <c:v>14</c:v>
                </c:pt>
                <c:pt idx="12">
                  <c:v>12</c:v>
                </c:pt>
              </c:numCache>
            </c:numRef>
          </c:val>
          <c:extLst>
            <c:ext xmlns:c16="http://schemas.microsoft.com/office/drawing/2014/chart" uri="{C3380CC4-5D6E-409C-BE32-E72D297353CC}">
              <c16:uniqueId val="{00000000-F93A-4812-A242-E4861A696F7A}"/>
            </c:ext>
          </c:extLst>
        </c:ser>
        <c:ser>
          <c:idx val="1"/>
          <c:order val="2"/>
          <c:tx>
            <c:strRef>
              <c:f>History!$E$4</c:f>
              <c:strCache>
                <c:ptCount val="1"/>
                <c:pt idx="0">
                  <c:v>Ø Last 12 months</c:v>
                </c:pt>
              </c:strCache>
            </c:strRef>
          </c:tx>
          <c:spPr>
            <a:solidFill>
              <a:srgbClr val="8EA7C0"/>
            </a:solidFill>
            <a:ln>
              <a:solidFill>
                <a:srgbClr val="8EA7C0"/>
              </a:solidFill>
            </a:ln>
            <a:effectLst/>
          </c:spPr>
          <c:invertIfNegative val="0"/>
          <c:dLbls>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99-4C8E-A28C-F7158B724137}"/>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99-4C8E-A28C-F7158B72413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History!$B$5:$B$56</c15:sqref>
                  </c15:fullRef>
                </c:ext>
              </c:extLst>
              <c:f>(History!$B$5:$B$41,History!$B$44:$B$56)</c:f>
              <c:numCache>
                <c:formatCode>[$-409]mmm\-yy;@</c:formatCode>
                <c:ptCount val="13"/>
                <c:pt idx="0">
                  <c:v>44677</c:v>
                </c:pt>
                <c:pt idx="1">
                  <c:v>44708</c:v>
                </c:pt>
                <c:pt idx="2">
                  <c:v>44739</c:v>
                </c:pt>
                <c:pt idx="3">
                  <c:v>44770</c:v>
                </c:pt>
                <c:pt idx="4">
                  <c:v>44801</c:v>
                </c:pt>
                <c:pt idx="5">
                  <c:v>44832</c:v>
                </c:pt>
                <c:pt idx="6">
                  <c:v>44863</c:v>
                </c:pt>
                <c:pt idx="7">
                  <c:v>44894</c:v>
                </c:pt>
                <c:pt idx="8">
                  <c:v>44925</c:v>
                </c:pt>
                <c:pt idx="9">
                  <c:v>44956</c:v>
                </c:pt>
                <c:pt idx="10">
                  <c:v>44977</c:v>
                </c:pt>
                <c:pt idx="11">
                  <c:v>45005</c:v>
                </c:pt>
                <c:pt idx="12">
                  <c:v>45036</c:v>
                </c:pt>
              </c:numCache>
            </c:numRef>
          </c:cat>
          <c:val>
            <c:numRef>
              <c:extLst>
                <c:ext xmlns:c15="http://schemas.microsoft.com/office/drawing/2012/chart" uri="{02D57815-91ED-43cb-92C2-25804820EDAC}">
                  <c15:fullRef>
                    <c15:sqref>History!$E$5:$E$56</c15:sqref>
                  </c15:fullRef>
                </c:ext>
              </c:extLst>
              <c:f>(History!$E$5:$E$41,History!$E$44:$E$56)</c:f>
              <c:numCache>
                <c:formatCode>0.0</c:formatCode>
                <c:ptCount val="13"/>
                <c:pt idx="0">
                  <c:v>6.916666666666667</c:v>
                </c:pt>
                <c:pt idx="1">
                  <c:v>6.833333333333333</c:v>
                </c:pt>
                <c:pt idx="2">
                  <c:v>6.666666666666667</c:v>
                </c:pt>
                <c:pt idx="3">
                  <c:v>6.833333333333333</c:v>
                </c:pt>
                <c:pt idx="4">
                  <c:v>6.666666666666667</c:v>
                </c:pt>
                <c:pt idx="5">
                  <c:v>6.833333333333333</c:v>
                </c:pt>
                <c:pt idx="6">
                  <c:v>7.583333333333333</c:v>
                </c:pt>
                <c:pt idx="7">
                  <c:v>7.166666666666667</c:v>
                </c:pt>
                <c:pt idx="8">
                  <c:v>7.333333333333333</c:v>
                </c:pt>
                <c:pt idx="9">
                  <c:v>7.615384615384615</c:v>
                </c:pt>
                <c:pt idx="10">
                  <c:v>8</c:v>
                </c:pt>
                <c:pt idx="11">
                  <c:v>8.4615384615384617</c:v>
                </c:pt>
                <c:pt idx="12">
                  <c:v>9.1666666666666661</c:v>
                </c:pt>
              </c:numCache>
            </c:numRef>
          </c:val>
          <c:extLst>
            <c:ext xmlns:c16="http://schemas.microsoft.com/office/drawing/2014/chart" uri="{C3380CC4-5D6E-409C-BE32-E72D297353CC}">
              <c16:uniqueId val="{00000002-B766-4845-A968-D65F81C47AB0}"/>
            </c:ext>
          </c:extLst>
        </c:ser>
        <c:dLbls>
          <c:showLegendKey val="0"/>
          <c:showVal val="0"/>
          <c:showCatName val="0"/>
          <c:showSerName val="0"/>
          <c:showPercent val="0"/>
          <c:showBubbleSize val="0"/>
        </c:dLbls>
        <c:gapWidth val="150"/>
        <c:overlap val="-15"/>
        <c:axId val="411246048"/>
        <c:axId val="411247360"/>
      </c:barChart>
      <c:lineChart>
        <c:grouping val="standard"/>
        <c:varyColors val="0"/>
        <c:ser>
          <c:idx val="0"/>
          <c:order val="0"/>
          <c:tx>
            <c:strRef>
              <c:f>History!$C$4</c:f>
              <c:strCache>
                <c:ptCount val="1"/>
                <c:pt idx="0">
                  <c:v>Target KPI</c:v>
                </c:pt>
              </c:strCache>
            </c:strRef>
          </c:tx>
          <c:spPr>
            <a:ln w="22225" cap="rnd">
              <a:solidFill>
                <a:srgbClr val="004089"/>
              </a:solidFill>
              <a:prstDash val="sysDash"/>
              <a:round/>
            </a:ln>
            <a:effectLst/>
          </c:spPr>
          <c:marker>
            <c:symbol val="none"/>
          </c:marker>
          <c:dLbls>
            <c:dLbl>
              <c:idx val="4"/>
              <c:layout>
                <c:manualLayout>
                  <c:x val="4.8616403417180622E-3"/>
                  <c:y val="-0.129941300365370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59-49CB-B91E-0B714E41C30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4089"/>
                    </a:solidFill>
                    <a:latin typeface="Arial" panose="020B0604020202020204" pitchFamily="34" charset="0"/>
                    <a:ea typeface="+mn-ea"/>
                    <a:cs typeface="Arial" panose="020B0604020202020204" pitchFamily="34" charset="0"/>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rgbClr val="004089"/>
                      </a:solidFill>
                      <a:round/>
                    </a:ln>
                    <a:effectLst/>
                  </c:spPr>
                </c15:leaderLines>
              </c:ext>
            </c:extLst>
          </c:dLbls>
          <c:cat>
            <c:numRef>
              <c:extLst>
                <c:ext xmlns:c15="http://schemas.microsoft.com/office/drawing/2012/chart" uri="{02D57815-91ED-43cb-92C2-25804820EDAC}">
                  <c15:fullRef>
                    <c15:sqref>History!$B$5:$B$56</c15:sqref>
                  </c15:fullRef>
                </c:ext>
              </c:extLst>
              <c:f>(History!$B$5:$B$41,History!$B$44:$B$56)</c:f>
              <c:numCache>
                <c:formatCode>[$-409]mmm\-yy;@</c:formatCode>
                <c:ptCount val="13"/>
                <c:pt idx="0">
                  <c:v>44677</c:v>
                </c:pt>
                <c:pt idx="1">
                  <c:v>44708</c:v>
                </c:pt>
                <c:pt idx="2">
                  <c:v>44739</c:v>
                </c:pt>
                <c:pt idx="3">
                  <c:v>44770</c:v>
                </c:pt>
                <c:pt idx="4">
                  <c:v>44801</c:v>
                </c:pt>
                <c:pt idx="5">
                  <c:v>44832</c:v>
                </c:pt>
                <c:pt idx="6">
                  <c:v>44863</c:v>
                </c:pt>
                <c:pt idx="7">
                  <c:v>44894</c:v>
                </c:pt>
                <c:pt idx="8">
                  <c:v>44925</c:v>
                </c:pt>
                <c:pt idx="9">
                  <c:v>44956</c:v>
                </c:pt>
                <c:pt idx="10">
                  <c:v>44977</c:v>
                </c:pt>
                <c:pt idx="11">
                  <c:v>45005</c:v>
                </c:pt>
                <c:pt idx="12">
                  <c:v>45036</c:v>
                </c:pt>
              </c:numCache>
            </c:numRef>
          </c:cat>
          <c:val>
            <c:numRef>
              <c:extLst>
                <c:ext xmlns:c15="http://schemas.microsoft.com/office/drawing/2012/chart" uri="{02D57815-91ED-43cb-92C2-25804820EDAC}">
                  <c15:fullRef>
                    <c15:sqref>History!$C$5:$C$56</c15:sqref>
                  </c15:fullRef>
                </c:ext>
              </c:extLst>
              <c:f>(History!$C$5:$C$41,History!$C$44:$C$56)</c:f>
              <c:numCache>
                <c:formatCode>General</c:formatCode>
                <c:ptCount val="13"/>
                <c:pt idx="0">
                  <c:v>7</c:v>
                </c:pt>
                <c:pt idx="1">
                  <c:v>7</c:v>
                </c:pt>
                <c:pt idx="2">
                  <c:v>7</c:v>
                </c:pt>
                <c:pt idx="3">
                  <c:v>7</c:v>
                </c:pt>
                <c:pt idx="4">
                  <c:v>7</c:v>
                </c:pt>
                <c:pt idx="5">
                  <c:v>7</c:v>
                </c:pt>
                <c:pt idx="6">
                  <c:v>7</c:v>
                </c:pt>
                <c:pt idx="7">
                  <c:v>7</c:v>
                </c:pt>
                <c:pt idx="8">
                  <c:v>7</c:v>
                </c:pt>
                <c:pt idx="9">
                  <c:v>7</c:v>
                </c:pt>
                <c:pt idx="10">
                  <c:v>7</c:v>
                </c:pt>
                <c:pt idx="11">
                  <c:v>7</c:v>
                </c:pt>
                <c:pt idx="12">
                  <c:v>7</c:v>
                </c:pt>
              </c:numCache>
            </c:numRef>
          </c:val>
          <c:smooth val="0"/>
          <c:extLst>
            <c:ext xmlns:c16="http://schemas.microsoft.com/office/drawing/2014/chart" uri="{C3380CC4-5D6E-409C-BE32-E72D297353CC}">
              <c16:uniqueId val="{00000000-B766-4845-A968-D65F81C47AB0}"/>
            </c:ext>
          </c:extLst>
        </c:ser>
        <c:dLbls>
          <c:showLegendKey val="0"/>
          <c:showVal val="0"/>
          <c:showCatName val="0"/>
          <c:showSerName val="0"/>
          <c:showPercent val="0"/>
          <c:showBubbleSize val="0"/>
        </c:dLbls>
        <c:marker val="1"/>
        <c:smooth val="0"/>
        <c:axId val="411246048"/>
        <c:axId val="411247360"/>
      </c:lineChart>
      <c:dateAx>
        <c:axId val="411246048"/>
        <c:scaling>
          <c:orientation val="minMax"/>
        </c:scaling>
        <c:delete val="0"/>
        <c:axPos val="b"/>
        <c:numFmt formatCode="[$-409]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crossAx val="411247360"/>
        <c:crosses val="autoZero"/>
        <c:auto val="1"/>
        <c:lblOffset val="100"/>
        <c:baseTimeUnit val="months"/>
      </c:dateAx>
      <c:valAx>
        <c:axId val="411247360"/>
        <c:scaling>
          <c:orientation val="minMax"/>
          <c:max val="1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b="0">
                    <a:solidFill>
                      <a:sysClr val="windowText" lastClr="000000"/>
                    </a:solidFill>
                  </a:rPr>
                  <a:t>KPI Value</a:t>
                </a:r>
              </a:p>
            </c:rich>
          </c:tx>
          <c:layout>
            <c:manualLayout>
              <c:xMode val="edge"/>
              <c:yMode val="edge"/>
              <c:x val="6.5891474591906448E-3"/>
              <c:y val="0.397239544711854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crossAx val="411246048"/>
        <c:crosses val="autoZero"/>
        <c:crossBetween val="between"/>
        <c:majorUnit val="3"/>
      </c:valAx>
      <c:spPr>
        <a:noFill/>
        <a:ln>
          <a:noFill/>
        </a:ln>
        <a:effectLst/>
      </c:spPr>
    </c:plotArea>
    <c:legend>
      <c:legendPos val="r"/>
      <c:layout>
        <c:manualLayout>
          <c:xMode val="edge"/>
          <c:yMode val="edge"/>
          <c:x val="0.89782458676478394"/>
          <c:y val="0.26146236986965277"/>
          <c:w val="9.6338503390271807E-2"/>
          <c:h val="0.47761281843443587"/>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latin typeface="Arial" panose="020B0604020202020204" pitchFamily="34" charset="0"/>
          <a:cs typeface="Arial" panose="020B0604020202020204" pitchFamily="34" charset="0"/>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b="1">
                <a:solidFill>
                  <a:sysClr val="windowText" lastClr="000000"/>
                </a:solidFill>
              </a:rPr>
              <a:t>No. of</a:t>
            </a:r>
            <a:r>
              <a:rPr lang="en-GB" b="1" baseline="0">
                <a:solidFill>
                  <a:sysClr val="windowText" lastClr="000000"/>
                </a:solidFill>
              </a:rPr>
              <a:t> Major Incidents</a:t>
            </a:r>
            <a:r>
              <a:rPr lang="en-GB" b="1">
                <a:solidFill>
                  <a:sysClr val="windowText" lastClr="000000"/>
                </a:solidFill>
              </a:rPr>
              <a:t> Current Month b</a:t>
            </a:r>
            <a:r>
              <a:rPr lang="en-GB" sz="1400" b="1" i="0" u="none" strike="noStrike" baseline="0">
                <a:effectLst/>
              </a:rPr>
              <a:t>y IT Services 2.0</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6.6560076153515238E-2"/>
          <c:y val="0.169481083865308"/>
          <c:w val="0.85001448015157488"/>
          <c:h val="0.43421702033370463"/>
        </c:manualLayout>
      </c:layout>
      <c:barChart>
        <c:barDir val="col"/>
        <c:grouping val="clustered"/>
        <c:varyColors val="0"/>
        <c:ser>
          <c:idx val="1"/>
          <c:order val="1"/>
          <c:tx>
            <c:strRef>
              <c:f>History!$D$64</c:f>
              <c:strCache>
                <c:ptCount val="1"/>
                <c:pt idx="0">
                  <c:v>Current Month</c:v>
                </c:pt>
              </c:strCache>
            </c:strRef>
          </c:tx>
          <c:spPr>
            <a:solidFill>
              <a:srgbClr val="8EA7C0"/>
            </a:solidFill>
            <a:ln>
              <a:solidFill>
                <a:srgbClr val="8EA7C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History!$B$65:$B$82</c:f>
              <c:strCache>
                <c:ptCount val="18"/>
                <c:pt idx="0">
                  <c:v>Total</c:v>
                </c:pt>
                <c:pt idx="1">
                  <c:v>Supply Chain Management</c:v>
                </c:pt>
                <c:pt idx="2">
                  <c:v>Manufacturing Execution</c:v>
                </c:pt>
                <c:pt idx="3">
                  <c:v>Product Lifecycle Management</c:v>
                </c:pt>
                <c:pt idx="4">
                  <c:v>Customer Relationship Management</c:v>
                </c:pt>
                <c:pt idx="5">
                  <c:v>Business Intelligence</c:v>
                </c:pt>
                <c:pt idx="6">
                  <c:v>Finance &amp; Controlling</c:v>
                </c:pt>
                <c:pt idx="7">
                  <c:v>Human Resources</c:v>
                </c:pt>
                <c:pt idx="8">
                  <c:v>Overarching Governance</c:v>
                </c:pt>
                <c:pt idx="9">
                  <c:v>Data Distribution &amp; Archive</c:v>
                </c:pt>
                <c:pt idx="10">
                  <c:v>Intelligent Process Automation</c:v>
                </c:pt>
                <c:pt idx="11">
                  <c:v>Other supported Applications</c:v>
                </c:pt>
                <c:pt idx="12">
                  <c:v>Data Center</c:v>
                </c:pt>
                <c:pt idx="13">
                  <c:v>Network &amp; Connectivity</c:v>
                </c:pt>
                <c:pt idx="14">
                  <c:v>Modern Workplace</c:v>
                </c:pt>
                <c:pt idx="15">
                  <c:v>IT for IT</c:v>
                </c:pt>
                <c:pt idx="16">
                  <c:v>End User Support</c:v>
                </c:pt>
                <c:pt idx="17">
                  <c:v>WCS Services</c:v>
                </c:pt>
              </c:strCache>
            </c:strRef>
          </c:cat>
          <c:val>
            <c:numRef>
              <c:f>History!$D$65:$D$82</c:f>
              <c:numCache>
                <c:formatCode>General</c:formatCode>
                <c:ptCount val="18"/>
                <c:pt idx="0">
                  <c:v>12</c:v>
                </c:pt>
                <c:pt idx="1">
                  <c:v>2</c:v>
                </c:pt>
                <c:pt idx="2">
                  <c:v>0</c:v>
                </c:pt>
                <c:pt idx="3">
                  <c:v>0</c:v>
                </c:pt>
                <c:pt idx="4">
                  <c:v>0</c:v>
                </c:pt>
                <c:pt idx="5">
                  <c:v>0</c:v>
                </c:pt>
                <c:pt idx="6">
                  <c:v>0</c:v>
                </c:pt>
                <c:pt idx="7">
                  <c:v>0</c:v>
                </c:pt>
                <c:pt idx="8">
                  <c:v>0</c:v>
                </c:pt>
                <c:pt idx="9">
                  <c:v>1</c:v>
                </c:pt>
                <c:pt idx="10">
                  <c:v>0</c:v>
                </c:pt>
                <c:pt idx="11">
                  <c:v>0</c:v>
                </c:pt>
                <c:pt idx="12">
                  <c:v>8</c:v>
                </c:pt>
                <c:pt idx="13">
                  <c:v>1</c:v>
                </c:pt>
                <c:pt idx="14">
                  <c:v>0</c:v>
                </c:pt>
                <c:pt idx="15">
                  <c:v>0</c:v>
                </c:pt>
                <c:pt idx="16">
                  <c:v>0</c:v>
                </c:pt>
                <c:pt idx="17">
                  <c:v>0</c:v>
                </c:pt>
              </c:numCache>
            </c:numRef>
          </c:val>
          <c:extLst>
            <c:ext xmlns:c16="http://schemas.microsoft.com/office/drawing/2014/chart" uri="{C3380CC4-5D6E-409C-BE32-E72D297353CC}">
              <c16:uniqueId val="{00000004-3051-40B7-BB63-CF06B2591D7D}"/>
            </c:ext>
          </c:extLst>
        </c:ser>
        <c:dLbls>
          <c:showLegendKey val="0"/>
          <c:showVal val="0"/>
          <c:showCatName val="0"/>
          <c:showSerName val="0"/>
          <c:showPercent val="0"/>
          <c:showBubbleSize val="0"/>
        </c:dLbls>
        <c:gapWidth val="100"/>
        <c:axId val="411246048"/>
        <c:axId val="411247360"/>
      </c:barChart>
      <c:lineChart>
        <c:grouping val="standard"/>
        <c:varyColors val="0"/>
        <c:ser>
          <c:idx val="0"/>
          <c:order val="0"/>
          <c:tx>
            <c:strRef>
              <c:f>History!$C$64</c:f>
              <c:strCache>
                <c:ptCount val="1"/>
                <c:pt idx="0">
                  <c:v>Target KPI</c:v>
                </c:pt>
              </c:strCache>
            </c:strRef>
          </c:tx>
          <c:spPr>
            <a:ln w="22225" cap="rnd">
              <a:solidFill>
                <a:srgbClr val="004089"/>
              </a:solidFill>
              <a:prstDash val="sysDash"/>
              <a:round/>
            </a:ln>
            <a:effectLst/>
          </c:spPr>
          <c:marker>
            <c:symbol val="none"/>
          </c:marker>
          <c:dLbls>
            <c:dLbl>
              <c:idx val="0"/>
              <c:layout>
                <c:manualLayout>
                  <c:x val="1.1694575164055853E-2"/>
                  <c:y val="-6.01557441585014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B4-45B4-A69C-7C6324C5A15B}"/>
                </c:ext>
              </c:extLst>
            </c:dLbl>
            <c:dLbl>
              <c:idx val="18"/>
              <c:layout>
                <c:manualLayout>
                  <c:x val="2.3661686035786611E-2"/>
                  <c:y val="3.41648180307154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51-40B7-BB63-CF06B2591D7D}"/>
                </c:ext>
              </c:extLst>
            </c:dLbl>
            <c:dLbl>
              <c:idx val="57"/>
              <c:layout>
                <c:manualLayout>
                  <c:x val="1.3299981401147255E-2"/>
                  <c:y val="-8.87687145998556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51-40B7-BB63-CF06B2591D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4089"/>
                    </a:solidFill>
                    <a:latin typeface="Arial" panose="020B0604020202020204" pitchFamily="34" charset="0"/>
                    <a:ea typeface="+mn-ea"/>
                    <a:cs typeface="Arial" panose="020B0604020202020204" pitchFamily="34" charset="0"/>
                  </a:defRPr>
                </a:pPr>
                <a:endParaRPr lang="fr-FR"/>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rgbClr val="004089"/>
                      </a:solidFill>
                      <a:round/>
                    </a:ln>
                    <a:effectLst/>
                  </c:spPr>
                </c15:leaderLines>
              </c:ext>
            </c:extLst>
          </c:dLbls>
          <c:cat>
            <c:strRef>
              <c:f>History!$B$65:$B$82</c:f>
              <c:strCache>
                <c:ptCount val="18"/>
                <c:pt idx="0">
                  <c:v>Total</c:v>
                </c:pt>
                <c:pt idx="1">
                  <c:v>Supply Chain Management</c:v>
                </c:pt>
                <c:pt idx="2">
                  <c:v>Manufacturing Execution</c:v>
                </c:pt>
                <c:pt idx="3">
                  <c:v>Product Lifecycle Management</c:v>
                </c:pt>
                <c:pt idx="4">
                  <c:v>Customer Relationship Management</c:v>
                </c:pt>
                <c:pt idx="5">
                  <c:v>Business Intelligence</c:v>
                </c:pt>
                <c:pt idx="6">
                  <c:v>Finance &amp; Controlling</c:v>
                </c:pt>
                <c:pt idx="7">
                  <c:v>Human Resources</c:v>
                </c:pt>
                <c:pt idx="8">
                  <c:v>Overarching Governance</c:v>
                </c:pt>
                <c:pt idx="9">
                  <c:v>Data Distribution &amp; Archive</c:v>
                </c:pt>
                <c:pt idx="10">
                  <c:v>Intelligent Process Automation</c:v>
                </c:pt>
                <c:pt idx="11">
                  <c:v>Other supported Applications</c:v>
                </c:pt>
                <c:pt idx="12">
                  <c:v>Data Center</c:v>
                </c:pt>
                <c:pt idx="13">
                  <c:v>Network &amp; Connectivity</c:v>
                </c:pt>
                <c:pt idx="14">
                  <c:v>Modern Workplace</c:v>
                </c:pt>
                <c:pt idx="15">
                  <c:v>IT for IT</c:v>
                </c:pt>
                <c:pt idx="16">
                  <c:v>End User Support</c:v>
                </c:pt>
                <c:pt idx="17">
                  <c:v>WCS Services</c:v>
                </c:pt>
              </c:strCache>
            </c:strRef>
          </c:cat>
          <c:val>
            <c:numRef>
              <c:f>History!$C$65:$C$82</c:f>
              <c:numCache>
                <c:formatCode>General</c:formatCode>
                <c:ptCount val="18"/>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numCache>
            </c:numRef>
          </c:val>
          <c:smooth val="0"/>
          <c:extLst>
            <c:ext xmlns:c16="http://schemas.microsoft.com/office/drawing/2014/chart" uri="{C3380CC4-5D6E-409C-BE32-E72D297353CC}">
              <c16:uniqueId val="{00000007-3051-40B7-BB63-CF06B2591D7D}"/>
            </c:ext>
          </c:extLst>
        </c:ser>
        <c:dLbls>
          <c:dLblPos val="t"/>
          <c:showLegendKey val="0"/>
          <c:showVal val="1"/>
          <c:showCatName val="0"/>
          <c:showSerName val="0"/>
          <c:showPercent val="0"/>
          <c:showBubbleSize val="0"/>
        </c:dLbls>
        <c:marker val="1"/>
        <c:smooth val="0"/>
        <c:axId val="411246048"/>
        <c:axId val="411247360"/>
      </c:lineChart>
      <c:catAx>
        <c:axId val="411246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10000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crossAx val="411247360"/>
        <c:crosses val="autoZero"/>
        <c:auto val="1"/>
        <c:lblAlgn val="ctr"/>
        <c:lblOffset val="100"/>
        <c:noMultiLvlLbl val="0"/>
      </c:catAx>
      <c:valAx>
        <c:axId val="411247360"/>
        <c:scaling>
          <c:orientation val="minMax"/>
          <c:max val="1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de-DE">
                    <a:solidFill>
                      <a:sysClr val="windowText" lastClr="000000"/>
                    </a:solidFill>
                  </a:rPr>
                  <a:t>KPI Value</a:t>
                </a:r>
              </a:p>
            </c:rich>
          </c:tx>
          <c:layout>
            <c:manualLayout>
              <c:xMode val="edge"/>
              <c:yMode val="edge"/>
              <c:x val="1.2459374113296661E-2"/>
              <c:y val="0.362466764915319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crossAx val="411246048"/>
        <c:crosses val="autoZero"/>
        <c:crossBetween val="between"/>
        <c:majorUnit val="3"/>
      </c:valAx>
      <c:spPr>
        <a:noFill/>
        <a:ln>
          <a:noFill/>
        </a:ln>
        <a:effectLst/>
      </c:spPr>
    </c:plotArea>
    <c:legend>
      <c:legendPos val="r"/>
      <c:layout>
        <c:manualLayout>
          <c:xMode val="edge"/>
          <c:yMode val="edge"/>
          <c:x val="0.91582056327972705"/>
          <c:y val="0.30257984456842885"/>
          <c:w val="8.3261765102382659E-2"/>
          <c:h val="0.20954524704958027"/>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fr-FR"/>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13111</xdr:colOff>
      <xdr:row>37</xdr:row>
      <xdr:rowOff>112059</xdr:rowOff>
    </xdr:from>
    <xdr:to>
      <xdr:col>20</xdr:col>
      <xdr:colOff>13111</xdr:colOff>
      <xdr:row>49</xdr:row>
      <xdr:rowOff>177389</xdr:rowOff>
    </xdr:to>
    <xdr:graphicFrame macro="">
      <xdr:nvGraphicFramePr>
        <xdr:cNvPr id="2" name="Chart 1">
          <a:extLst>
            <a:ext uri="{FF2B5EF4-FFF2-40B4-BE49-F238E27FC236}">
              <a16:creationId xmlns:a16="http://schemas.microsoft.com/office/drawing/2014/main" id="{C27A68C0-0162-49FB-8A38-76928A8F9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14364</xdr:colOff>
      <xdr:row>51</xdr:row>
      <xdr:rowOff>0</xdr:rowOff>
    </xdr:from>
    <xdr:to>
      <xdr:col>20</xdr:col>
      <xdr:colOff>13111</xdr:colOff>
      <xdr:row>67</xdr:row>
      <xdr:rowOff>145677</xdr:rowOff>
    </xdr:to>
    <xdr:graphicFrame macro="">
      <xdr:nvGraphicFramePr>
        <xdr:cNvPr id="4" name="Chart 1">
          <a:extLst>
            <a:ext uri="{FF2B5EF4-FFF2-40B4-BE49-F238E27FC236}">
              <a16:creationId xmlns:a16="http://schemas.microsoft.com/office/drawing/2014/main" id="{D6EA99F2-6FCE-4082-B666-8609999BF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268941</xdr:colOff>
      <xdr:row>40</xdr:row>
      <xdr:rowOff>56030</xdr:rowOff>
    </xdr:from>
    <xdr:to>
      <xdr:col>17</xdr:col>
      <xdr:colOff>268941</xdr:colOff>
      <xdr:row>48</xdr:row>
      <xdr:rowOff>22412</xdr:rowOff>
    </xdr:to>
    <xdr:cxnSp macro="">
      <xdr:nvCxnSpPr>
        <xdr:cNvPr id="5" name="Gerader Verbinder 4">
          <a:extLst>
            <a:ext uri="{FF2B5EF4-FFF2-40B4-BE49-F238E27FC236}">
              <a16:creationId xmlns:a16="http://schemas.microsoft.com/office/drawing/2014/main" id="{3B7C444E-DE1E-4CAA-83FE-B2AB2E36EF59}"/>
            </a:ext>
          </a:extLst>
        </xdr:cNvPr>
        <xdr:cNvCxnSpPr/>
      </xdr:nvCxnSpPr>
      <xdr:spPr>
        <a:xfrm>
          <a:off x="10914529" y="8494059"/>
          <a:ext cx="0" cy="1490382"/>
        </a:xfrm>
        <a:prstGeom prst="line">
          <a:avLst/>
        </a:prstGeom>
        <a:ln>
          <a:prstDash val="lgDash"/>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BB0DF-D035-4F92-B4B6-63C77B7F6BFA}">
  <sheetPr>
    <pageSetUpPr fitToPage="1"/>
  </sheetPr>
  <dimension ref="C2:V111"/>
  <sheetViews>
    <sheetView tabSelected="1" zoomScaleNormal="100" workbookViewId="0">
      <selection activeCell="D78" sqref="D78"/>
    </sheetView>
  </sheetViews>
  <sheetFormatPr defaultColWidth="9.140625" defaultRowHeight="15" outlineLevelRow="1" x14ac:dyDescent="0.2"/>
  <cols>
    <col min="1" max="1" width="1.42578125" style="21" customWidth="1"/>
    <col min="2" max="2" width="1.7109375" style="21" customWidth="1"/>
    <col min="3" max="3" width="1.5703125" style="43" customWidth="1"/>
    <col min="4" max="4" width="5.42578125" style="21" customWidth="1"/>
    <col min="5" max="5" width="13.28515625" style="21" customWidth="1"/>
    <col min="6" max="6" width="2" style="21" customWidth="1"/>
    <col min="7" max="7" width="16.5703125" style="22" customWidth="1"/>
    <col min="8" max="8" width="9.140625" style="22"/>
    <col min="9" max="9" width="15.5703125" style="22" customWidth="1"/>
    <col min="10" max="10" width="3" style="22" customWidth="1"/>
    <col min="11" max="11" width="5.5703125" style="22" customWidth="1"/>
    <col min="12" max="12" width="21.140625" style="22" customWidth="1"/>
    <col min="13" max="13" width="4" style="21" customWidth="1"/>
    <col min="14" max="14" width="18.42578125" style="21" customWidth="1"/>
    <col min="15" max="15" width="2.28515625" style="21" customWidth="1"/>
    <col min="16" max="16" width="27" style="22" customWidth="1"/>
    <col min="17" max="17" width="11.28515625" style="22" bestFit="1" customWidth="1"/>
    <col min="18" max="18" width="11.5703125" style="22" bestFit="1" customWidth="1"/>
    <col min="19" max="19" width="26.140625" style="22" customWidth="1"/>
    <col min="20" max="20" width="1.42578125" style="21" customWidth="1"/>
    <col min="21" max="21" width="4.140625" style="21" customWidth="1"/>
    <col min="22" max="22" width="94.28515625" style="22" customWidth="1"/>
    <col min="23" max="23" width="43" style="21" customWidth="1"/>
    <col min="24" max="16384" width="9.140625" style="21"/>
  </cols>
  <sheetData>
    <row r="2" spans="3:22" ht="9.6" customHeight="1" x14ac:dyDescent="0.2">
      <c r="C2" s="20"/>
    </row>
    <row r="3" spans="3:22" ht="7.5" customHeight="1" x14ac:dyDescent="0.2">
      <c r="C3" s="23"/>
      <c r="D3" s="24"/>
      <c r="E3" s="24"/>
      <c r="F3" s="24"/>
      <c r="G3" s="24"/>
      <c r="H3" s="24"/>
      <c r="I3" s="24"/>
      <c r="J3" s="24"/>
      <c r="K3" s="24"/>
      <c r="L3" s="24"/>
      <c r="M3" s="24"/>
      <c r="N3" s="24"/>
      <c r="O3" s="24"/>
      <c r="P3" s="24"/>
      <c r="Q3" s="24"/>
      <c r="R3" s="24"/>
      <c r="S3" s="24"/>
      <c r="T3" s="25"/>
    </row>
    <row r="4" spans="3:22" ht="26.25" x14ac:dyDescent="0.4">
      <c r="C4" s="64" t="s">
        <v>0</v>
      </c>
      <c r="E4" s="26"/>
      <c r="F4" s="65"/>
      <c r="G4" s="66"/>
      <c r="H4" s="66"/>
      <c r="M4" s="22"/>
      <c r="N4" s="22"/>
      <c r="O4" s="22"/>
      <c r="S4" s="67">
        <v>45036</v>
      </c>
      <c r="T4" s="27"/>
      <c r="V4" s="28" t="s">
        <v>1</v>
      </c>
    </row>
    <row r="5" spans="3:22" ht="15.95" customHeight="1" x14ac:dyDescent="0.25">
      <c r="C5" s="29"/>
      <c r="D5" s="22"/>
      <c r="E5" s="22"/>
      <c r="F5" s="22"/>
      <c r="M5" s="22"/>
      <c r="N5" s="22"/>
      <c r="O5" s="22"/>
      <c r="T5" s="30"/>
    </row>
    <row r="6" spans="3:22" ht="15.95" customHeight="1" x14ac:dyDescent="0.25">
      <c r="C6" s="29"/>
      <c r="D6" s="234" t="s">
        <v>2</v>
      </c>
      <c r="E6" s="234"/>
      <c r="F6" s="55"/>
      <c r="G6" s="56" t="s">
        <v>3</v>
      </c>
      <c r="H6" s="55"/>
      <c r="I6" s="57" t="s">
        <v>4</v>
      </c>
      <c r="J6" s="241" t="s">
        <v>5</v>
      </c>
      <c r="K6" s="241"/>
      <c r="L6" s="241"/>
      <c r="M6" s="55"/>
      <c r="N6" s="57" t="s">
        <v>6</v>
      </c>
      <c r="O6" s="55"/>
      <c r="P6" s="236" t="s">
        <v>7</v>
      </c>
      <c r="Q6" s="236"/>
      <c r="R6" s="236"/>
      <c r="S6" s="236"/>
      <c r="T6" s="30"/>
      <c r="V6" s="232" t="s">
        <v>8</v>
      </c>
    </row>
    <row r="7" spans="3:22" ht="15.95" customHeight="1" x14ac:dyDescent="0.2">
      <c r="C7" s="29"/>
      <c r="D7" s="39"/>
      <c r="E7" s="39"/>
      <c r="F7" s="55"/>
      <c r="G7" s="55"/>
      <c r="H7" s="55"/>
      <c r="I7" s="55"/>
      <c r="J7" s="55"/>
      <c r="K7" s="55"/>
      <c r="L7" s="55"/>
      <c r="M7" s="55"/>
      <c r="N7" s="55"/>
      <c r="O7" s="55"/>
      <c r="P7" s="55"/>
      <c r="Q7" s="55"/>
      <c r="R7" s="55"/>
      <c r="S7" s="55"/>
      <c r="T7" s="27"/>
      <c r="V7" s="233"/>
    </row>
    <row r="8" spans="3:22" ht="15.95" customHeight="1" x14ac:dyDescent="0.2">
      <c r="C8" s="29"/>
      <c r="D8" s="234" t="s">
        <v>9</v>
      </c>
      <c r="E8" s="234"/>
      <c r="F8" s="55"/>
      <c r="G8" s="204" cm="1">
        <f t="array" ref="G8">INDEX(History!E:E,MAX(ISNUMBER(History!E4:E56)*ROW(History!E4:E56)))</f>
        <v>9.1666666666666661</v>
      </c>
      <c r="H8" s="55"/>
      <c r="I8" s="57" t="s">
        <v>10</v>
      </c>
      <c r="J8" s="235" t="s">
        <v>11</v>
      </c>
      <c r="K8" s="235"/>
      <c r="L8" s="235"/>
      <c r="M8" s="55"/>
      <c r="N8" s="57" t="s">
        <v>12</v>
      </c>
      <c r="O8" s="55"/>
      <c r="P8" s="236" t="s">
        <v>13</v>
      </c>
      <c r="Q8" s="236"/>
      <c r="R8" s="236"/>
      <c r="S8" s="236"/>
      <c r="T8" s="27"/>
      <c r="V8" s="233"/>
    </row>
    <row r="9" spans="3:22" ht="15.95" customHeight="1" x14ac:dyDescent="0.2">
      <c r="C9" s="29"/>
      <c r="D9" s="31"/>
      <c r="E9" s="31"/>
      <c r="F9" s="22"/>
      <c r="M9" s="22"/>
      <c r="N9" s="22"/>
      <c r="O9" s="22"/>
      <c r="T9" s="27"/>
      <c r="V9" s="233"/>
    </row>
    <row r="10" spans="3:22" x14ac:dyDescent="0.2">
      <c r="C10" s="29"/>
      <c r="D10" s="53" t="s">
        <v>14</v>
      </c>
      <c r="E10" s="53"/>
      <c r="F10" s="22"/>
      <c r="G10" s="228" t="s">
        <v>303</v>
      </c>
      <c r="H10" s="228"/>
      <c r="I10" s="228"/>
      <c r="J10" s="228"/>
      <c r="K10" s="228"/>
      <c r="L10" s="228"/>
      <c r="M10" s="22"/>
      <c r="N10" s="32" t="s">
        <v>15</v>
      </c>
      <c r="O10" s="22"/>
      <c r="P10" s="228" t="s">
        <v>16</v>
      </c>
      <c r="Q10" s="228"/>
      <c r="R10" s="228"/>
      <c r="S10" s="228"/>
      <c r="T10" s="27"/>
      <c r="U10" s="32"/>
      <c r="V10" s="233"/>
    </row>
    <row r="11" spans="3:22" x14ac:dyDescent="0.2">
      <c r="C11" s="29"/>
      <c r="D11" s="53"/>
      <c r="E11" s="53"/>
      <c r="F11" s="22"/>
      <c r="G11" s="228"/>
      <c r="H11" s="228"/>
      <c r="I11" s="228"/>
      <c r="J11" s="228"/>
      <c r="K11" s="228"/>
      <c r="L11" s="228"/>
      <c r="M11" s="22"/>
      <c r="N11" s="227" t="s">
        <v>17</v>
      </c>
      <c r="O11" s="33"/>
      <c r="P11" s="228"/>
      <c r="Q11" s="228"/>
      <c r="R11" s="228"/>
      <c r="S11" s="228"/>
      <c r="T11" s="27"/>
      <c r="U11" s="227"/>
      <c r="V11" s="233"/>
    </row>
    <row r="12" spans="3:22" x14ac:dyDescent="0.2">
      <c r="C12" s="29"/>
      <c r="D12" s="53"/>
      <c r="E12" s="53"/>
      <c r="F12" s="22"/>
      <c r="G12" s="228"/>
      <c r="H12" s="228"/>
      <c r="I12" s="228"/>
      <c r="J12" s="228"/>
      <c r="K12" s="228"/>
      <c r="L12" s="228"/>
      <c r="M12" s="22"/>
      <c r="N12" s="237"/>
      <c r="O12" s="33"/>
      <c r="P12" s="228"/>
      <c r="Q12" s="228"/>
      <c r="R12" s="228"/>
      <c r="S12" s="228"/>
      <c r="T12" s="27"/>
      <c r="U12" s="237"/>
      <c r="V12" s="233"/>
    </row>
    <row r="13" spans="3:22" x14ac:dyDescent="0.2">
      <c r="C13" s="29"/>
      <c r="D13" s="53"/>
      <c r="E13" s="53"/>
      <c r="F13" s="22"/>
      <c r="G13" s="228"/>
      <c r="H13" s="228"/>
      <c r="I13" s="228"/>
      <c r="J13" s="228"/>
      <c r="K13" s="228"/>
      <c r="L13" s="228"/>
      <c r="M13" s="22"/>
      <c r="O13" s="33"/>
      <c r="P13" s="228"/>
      <c r="Q13" s="228"/>
      <c r="R13" s="228"/>
      <c r="S13" s="228"/>
      <c r="T13" s="27"/>
      <c r="V13" s="233"/>
    </row>
    <row r="14" spans="3:22" ht="15.75" hidden="1" customHeight="1" outlineLevel="1" x14ac:dyDescent="0.2">
      <c r="C14" s="29"/>
      <c r="D14" s="53"/>
      <c r="E14" s="53"/>
      <c r="F14" s="22"/>
      <c r="M14" s="22"/>
      <c r="O14" s="33"/>
      <c r="P14" s="34"/>
      <c r="Q14" s="34"/>
      <c r="R14" s="34"/>
      <c r="S14" s="34"/>
      <c r="T14" s="27"/>
      <c r="V14" s="233"/>
    </row>
    <row r="15" spans="3:22" ht="15.75" hidden="1" customHeight="1" outlineLevel="1" x14ac:dyDescent="0.2">
      <c r="C15" s="29"/>
      <c r="D15" s="238" t="s">
        <v>18</v>
      </c>
      <c r="E15" s="238"/>
      <c r="F15" s="22"/>
      <c r="G15" s="35">
        <v>43570</v>
      </c>
      <c r="I15" s="239" t="s">
        <v>19</v>
      </c>
      <c r="J15" s="239"/>
      <c r="K15" s="239"/>
      <c r="L15" s="240"/>
      <c r="M15" s="22"/>
      <c r="N15" s="36" t="s">
        <v>20</v>
      </c>
      <c r="O15" s="33"/>
      <c r="P15" s="228" t="s">
        <v>21</v>
      </c>
      <c r="Q15" s="228"/>
      <c r="R15" s="228"/>
      <c r="S15" s="228"/>
      <c r="T15" s="27"/>
      <c r="U15" s="37"/>
      <c r="V15" s="233"/>
    </row>
    <row r="16" spans="3:22" ht="15" hidden="1" customHeight="1" outlineLevel="1" x14ac:dyDescent="0.2">
      <c r="C16" s="29"/>
      <c r="D16" s="227" t="s">
        <v>22</v>
      </c>
      <c r="E16" s="227"/>
      <c r="F16" s="22"/>
      <c r="M16" s="22"/>
      <c r="N16" s="227" t="s">
        <v>23</v>
      </c>
      <c r="P16" s="228"/>
      <c r="Q16" s="228"/>
      <c r="R16" s="228"/>
      <c r="S16" s="228"/>
      <c r="T16" s="27"/>
      <c r="U16" s="37"/>
      <c r="V16" s="233"/>
    </row>
    <row r="17" spans="3:22" ht="15" hidden="1" customHeight="1" outlineLevel="1" x14ac:dyDescent="0.2">
      <c r="C17" s="29"/>
      <c r="D17" s="227"/>
      <c r="E17" s="227"/>
      <c r="F17" s="22"/>
      <c r="G17" s="225" t="s">
        <v>24</v>
      </c>
      <c r="H17" s="225"/>
      <c r="I17" s="225"/>
      <c r="J17" s="225"/>
      <c r="K17" s="225"/>
      <c r="L17" s="225"/>
      <c r="M17" s="22"/>
      <c r="N17" s="227"/>
      <c r="P17" s="228"/>
      <c r="Q17" s="228"/>
      <c r="R17" s="228"/>
      <c r="S17" s="228"/>
      <c r="T17" s="27"/>
      <c r="U17" s="37"/>
      <c r="V17" s="233"/>
    </row>
    <row r="18" spans="3:22" hidden="1" outlineLevel="1" x14ac:dyDescent="0.2">
      <c r="C18" s="29"/>
      <c r="D18" s="227"/>
      <c r="E18" s="227"/>
      <c r="F18" s="22"/>
      <c r="G18" s="225"/>
      <c r="H18" s="225"/>
      <c r="I18" s="225"/>
      <c r="J18" s="225"/>
      <c r="K18" s="225"/>
      <c r="L18" s="225"/>
      <c r="M18" s="22"/>
      <c r="N18" s="227"/>
      <c r="P18" s="228"/>
      <c r="Q18" s="228"/>
      <c r="R18" s="228"/>
      <c r="S18" s="228"/>
      <c r="T18" s="27"/>
      <c r="U18" s="37"/>
      <c r="V18" s="233"/>
    </row>
    <row r="19" spans="3:22" hidden="1" outlineLevel="1" x14ac:dyDescent="0.2">
      <c r="C19" s="29"/>
      <c r="D19" s="227"/>
      <c r="E19" s="227"/>
      <c r="F19" s="22"/>
      <c r="G19" s="225"/>
      <c r="H19" s="225"/>
      <c r="I19" s="225"/>
      <c r="J19" s="225"/>
      <c r="K19" s="225"/>
      <c r="L19" s="225"/>
      <c r="M19" s="22"/>
      <c r="N19" s="227"/>
      <c r="P19" s="228"/>
      <c r="Q19" s="228"/>
      <c r="R19" s="228"/>
      <c r="S19" s="228"/>
      <c r="T19" s="27"/>
      <c r="U19" s="37"/>
      <c r="V19" s="233"/>
    </row>
    <row r="20" spans="3:22" hidden="1" outlineLevel="1" x14ac:dyDescent="0.2">
      <c r="C20" s="29"/>
      <c r="D20" s="227"/>
      <c r="E20" s="227"/>
      <c r="F20" s="22"/>
      <c r="M20" s="22"/>
      <c r="N20" s="38"/>
      <c r="T20" s="27"/>
      <c r="U20" s="37"/>
      <c r="V20" s="233"/>
    </row>
    <row r="21" spans="3:22" ht="26.25" hidden="1" customHeight="1" outlineLevel="1" x14ac:dyDescent="0.2">
      <c r="C21" s="29"/>
      <c r="D21" s="238" t="s">
        <v>25</v>
      </c>
      <c r="E21" s="238"/>
      <c r="F21" s="22"/>
      <c r="G21" s="228" t="s">
        <v>302</v>
      </c>
      <c r="H21" s="228"/>
      <c r="I21" s="228"/>
      <c r="J21" s="228"/>
      <c r="K21" s="228"/>
      <c r="L21" s="228"/>
      <c r="M21" s="22"/>
      <c r="N21" s="238" t="s">
        <v>26</v>
      </c>
      <c r="O21" s="22"/>
      <c r="P21" s="228" t="s">
        <v>27</v>
      </c>
      <c r="Q21" s="228"/>
      <c r="R21" s="228"/>
      <c r="S21" s="228"/>
      <c r="T21" s="27"/>
      <c r="U21" s="37"/>
      <c r="V21" s="233"/>
    </row>
    <row r="22" spans="3:22" ht="26.25" hidden="1" customHeight="1" outlineLevel="1" x14ac:dyDescent="0.2">
      <c r="C22" s="29"/>
      <c r="D22" s="238"/>
      <c r="E22" s="238"/>
      <c r="F22" s="22"/>
      <c r="G22" s="228"/>
      <c r="H22" s="228"/>
      <c r="I22" s="228"/>
      <c r="J22" s="228"/>
      <c r="K22" s="228"/>
      <c r="L22" s="228"/>
      <c r="M22" s="22"/>
      <c r="N22" s="238"/>
      <c r="O22" s="22"/>
      <c r="P22" s="228"/>
      <c r="Q22" s="228"/>
      <c r="R22" s="228"/>
      <c r="S22" s="228"/>
      <c r="T22" s="27"/>
      <c r="U22" s="37"/>
      <c r="V22" s="233"/>
    </row>
    <row r="23" spans="3:22" ht="26.25" hidden="1" customHeight="1" outlineLevel="1" x14ac:dyDescent="0.2">
      <c r="C23" s="29"/>
      <c r="D23" s="238"/>
      <c r="E23" s="238"/>
      <c r="F23" s="22"/>
      <c r="G23" s="228"/>
      <c r="H23" s="228"/>
      <c r="I23" s="228"/>
      <c r="J23" s="228"/>
      <c r="K23" s="228"/>
      <c r="L23" s="228"/>
      <c r="M23" s="22"/>
      <c r="N23" s="238"/>
      <c r="O23" s="22"/>
      <c r="P23" s="228"/>
      <c r="Q23" s="228"/>
      <c r="R23" s="228"/>
      <c r="S23" s="228"/>
      <c r="T23" s="27"/>
      <c r="U23" s="37"/>
      <c r="V23" s="233"/>
    </row>
    <row r="24" spans="3:22" ht="26.25" hidden="1" customHeight="1" outlineLevel="1" x14ac:dyDescent="0.2">
      <c r="C24" s="29"/>
      <c r="D24" s="238"/>
      <c r="E24" s="238"/>
      <c r="F24" s="22"/>
      <c r="G24" s="228"/>
      <c r="H24" s="228"/>
      <c r="I24" s="228"/>
      <c r="J24" s="228"/>
      <c r="K24" s="228"/>
      <c r="L24" s="228"/>
      <c r="M24" s="22"/>
      <c r="N24" s="238"/>
      <c r="O24" s="22"/>
      <c r="P24" s="228"/>
      <c r="Q24" s="228"/>
      <c r="R24" s="228"/>
      <c r="S24" s="228"/>
      <c r="T24" s="27"/>
      <c r="U24" s="37"/>
      <c r="V24" s="233"/>
    </row>
    <row r="25" spans="3:22" hidden="1" outlineLevel="1" x14ac:dyDescent="0.2">
      <c r="C25" s="29"/>
      <c r="D25" s="54"/>
      <c r="E25" s="54"/>
      <c r="F25" s="22"/>
      <c r="G25" s="53"/>
      <c r="H25" s="53"/>
      <c r="I25" s="53"/>
      <c r="J25" s="53"/>
      <c r="K25" s="53"/>
      <c r="L25" s="53"/>
      <c r="M25" s="22"/>
      <c r="N25" s="54"/>
      <c r="O25" s="22"/>
      <c r="S25" s="53"/>
      <c r="T25" s="27"/>
      <c r="U25" s="37"/>
      <c r="V25" s="233"/>
    </row>
    <row r="26" spans="3:22" ht="28.5" hidden="1" customHeight="1" outlineLevel="1" x14ac:dyDescent="0.2">
      <c r="C26" s="29"/>
      <c r="D26" s="233" t="s">
        <v>28</v>
      </c>
      <c r="E26" s="233"/>
      <c r="F26" s="22"/>
      <c r="G26" s="228" t="s">
        <v>283</v>
      </c>
      <c r="H26" s="228"/>
      <c r="I26" s="228"/>
      <c r="J26" s="228"/>
      <c r="K26" s="228"/>
      <c r="L26" s="228"/>
      <c r="M26" s="22"/>
      <c r="N26" s="36" t="s">
        <v>29</v>
      </c>
      <c r="P26" s="228" t="s">
        <v>30</v>
      </c>
      <c r="Q26" s="228"/>
      <c r="R26" s="228"/>
      <c r="S26" s="228"/>
      <c r="T26" s="27"/>
      <c r="U26" s="37"/>
      <c r="V26" s="233"/>
    </row>
    <row r="27" spans="3:22" hidden="1" outlineLevel="1" x14ac:dyDescent="0.2">
      <c r="C27" s="29"/>
      <c r="D27" s="39"/>
      <c r="E27" s="39"/>
      <c r="F27" s="22"/>
      <c r="G27" s="228"/>
      <c r="H27" s="228"/>
      <c r="I27" s="228"/>
      <c r="J27" s="228"/>
      <c r="K27" s="228"/>
      <c r="L27" s="228"/>
      <c r="M27" s="22"/>
      <c r="N27" s="36"/>
      <c r="P27" s="228"/>
      <c r="Q27" s="228"/>
      <c r="R27" s="228"/>
      <c r="S27" s="228"/>
      <c r="T27" s="27"/>
      <c r="U27" s="37"/>
      <c r="V27" s="233"/>
    </row>
    <row r="28" spans="3:22" hidden="1" outlineLevel="1" x14ac:dyDescent="0.2">
      <c r="C28" s="29"/>
      <c r="M28" s="22"/>
      <c r="N28" s="22"/>
      <c r="O28" s="22"/>
      <c r="S28" s="53"/>
      <c r="T28" s="27"/>
      <c r="U28" s="37"/>
      <c r="V28" s="233"/>
    </row>
    <row r="29" spans="3:22" ht="15" hidden="1" customHeight="1" outlineLevel="1" x14ac:dyDescent="0.2">
      <c r="C29" s="29"/>
      <c r="D29" s="238" t="s">
        <v>31</v>
      </c>
      <c r="E29" s="238"/>
      <c r="F29" s="22"/>
      <c r="G29" s="228" t="s">
        <v>32</v>
      </c>
      <c r="H29" s="228"/>
      <c r="I29" s="228"/>
      <c r="J29" s="228"/>
      <c r="K29" s="228"/>
      <c r="L29" s="228"/>
      <c r="M29" s="22"/>
      <c r="N29" s="32" t="s">
        <v>33</v>
      </c>
      <c r="O29" s="22"/>
      <c r="P29" s="228" t="s">
        <v>34</v>
      </c>
      <c r="Q29" s="228"/>
      <c r="R29" s="228"/>
      <c r="S29" s="228"/>
      <c r="T29" s="27"/>
      <c r="V29" s="233"/>
    </row>
    <row r="30" spans="3:22" ht="15" hidden="1" customHeight="1" outlineLevel="1" x14ac:dyDescent="0.2">
      <c r="C30" s="29"/>
      <c r="D30" s="238"/>
      <c r="E30" s="238"/>
      <c r="F30" s="22"/>
      <c r="G30" s="228"/>
      <c r="H30" s="228"/>
      <c r="I30" s="228"/>
      <c r="J30" s="228"/>
      <c r="K30" s="228"/>
      <c r="L30" s="228"/>
      <c r="M30" s="22"/>
      <c r="N30" s="32"/>
      <c r="O30" s="22"/>
      <c r="P30" s="228"/>
      <c r="Q30" s="228"/>
      <c r="R30" s="228"/>
      <c r="S30" s="228"/>
      <c r="T30" s="27"/>
      <c r="V30" s="233"/>
    </row>
    <row r="31" spans="3:22" ht="15" hidden="1" customHeight="1" outlineLevel="1" x14ac:dyDescent="0.2">
      <c r="C31" s="29"/>
      <c r="D31" s="238"/>
      <c r="E31" s="238"/>
      <c r="F31" s="22"/>
      <c r="G31" s="228"/>
      <c r="H31" s="228"/>
      <c r="I31" s="228"/>
      <c r="J31" s="228"/>
      <c r="K31" s="228"/>
      <c r="L31" s="228"/>
      <c r="M31" s="22"/>
      <c r="N31" s="32"/>
      <c r="O31" s="22"/>
      <c r="P31" s="228"/>
      <c r="Q31" s="228"/>
      <c r="R31" s="228"/>
      <c r="S31" s="228"/>
      <c r="T31" s="27"/>
      <c r="V31" s="233"/>
    </row>
    <row r="32" spans="3:22" ht="15" hidden="1" customHeight="1" outlineLevel="1" x14ac:dyDescent="0.2">
      <c r="C32" s="29"/>
      <c r="D32" s="238"/>
      <c r="E32" s="238"/>
      <c r="F32" s="22"/>
      <c r="G32" s="228"/>
      <c r="H32" s="228"/>
      <c r="I32" s="228"/>
      <c r="J32" s="228"/>
      <c r="K32" s="228"/>
      <c r="L32" s="228"/>
      <c r="M32" s="22"/>
      <c r="N32" s="32"/>
      <c r="O32" s="22"/>
      <c r="P32" s="228"/>
      <c r="Q32" s="228"/>
      <c r="R32" s="228"/>
      <c r="S32" s="228"/>
      <c r="T32" s="27"/>
      <c r="V32" s="233"/>
    </row>
    <row r="33" spans="3:22" hidden="1" outlineLevel="1" x14ac:dyDescent="0.2">
      <c r="C33" s="29"/>
      <c r="D33" s="238"/>
      <c r="E33" s="238"/>
      <c r="F33" s="22"/>
      <c r="G33" s="228"/>
      <c r="H33" s="228"/>
      <c r="I33" s="228"/>
      <c r="J33" s="228"/>
      <c r="K33" s="228"/>
      <c r="L33" s="228"/>
      <c r="M33" s="22"/>
      <c r="N33" s="32"/>
      <c r="O33" s="22"/>
      <c r="P33" s="228"/>
      <c r="Q33" s="228"/>
      <c r="R33" s="228"/>
      <c r="S33" s="228"/>
      <c r="T33" s="27"/>
      <c r="V33" s="233"/>
    </row>
    <row r="34" spans="3:22" hidden="1" outlineLevel="1" x14ac:dyDescent="0.2">
      <c r="C34" s="29"/>
      <c r="D34" s="238"/>
      <c r="E34" s="238"/>
      <c r="F34" s="22"/>
      <c r="G34" s="228"/>
      <c r="H34" s="228"/>
      <c r="I34" s="228"/>
      <c r="J34" s="228"/>
      <c r="K34" s="228"/>
      <c r="L34" s="228"/>
      <c r="M34" s="22"/>
      <c r="N34" s="32"/>
      <c r="O34" s="22"/>
      <c r="P34" s="228"/>
      <c r="Q34" s="228"/>
      <c r="R34" s="228"/>
      <c r="S34" s="228"/>
      <c r="T34" s="27"/>
      <c r="V34" s="233"/>
    </row>
    <row r="35" spans="3:22" ht="21" hidden="1" customHeight="1" outlineLevel="1" x14ac:dyDescent="0.2">
      <c r="C35" s="29"/>
      <c r="D35" s="238"/>
      <c r="E35" s="238"/>
      <c r="F35" s="22"/>
      <c r="G35" s="228"/>
      <c r="H35" s="228"/>
      <c r="I35" s="228"/>
      <c r="J35" s="228"/>
      <c r="K35" s="228"/>
      <c r="L35" s="228"/>
      <c r="M35" s="22"/>
      <c r="N35" s="32"/>
      <c r="O35" s="22"/>
      <c r="P35" s="228"/>
      <c r="Q35" s="228"/>
      <c r="R35" s="228"/>
      <c r="S35" s="228"/>
      <c r="T35" s="27"/>
      <c r="V35" s="233"/>
    </row>
    <row r="36" spans="3:22" collapsed="1" x14ac:dyDescent="0.2">
      <c r="C36" s="40"/>
      <c r="D36" s="41"/>
      <c r="E36" s="41"/>
      <c r="F36" s="41"/>
      <c r="G36" s="41"/>
      <c r="H36" s="41"/>
      <c r="I36" s="41"/>
      <c r="J36" s="41"/>
      <c r="K36" s="41"/>
      <c r="L36" s="41"/>
      <c r="M36" s="41"/>
      <c r="N36" s="41"/>
      <c r="O36" s="41"/>
      <c r="P36" s="41"/>
      <c r="Q36" s="41"/>
      <c r="R36" s="41"/>
      <c r="S36" s="41"/>
      <c r="T36" s="42"/>
      <c r="V36" s="233"/>
    </row>
    <row r="37" spans="3:22" ht="9" customHeight="1" x14ac:dyDescent="0.2"/>
    <row r="38" spans="3:22" x14ac:dyDescent="0.2">
      <c r="D38" s="36"/>
      <c r="E38" s="36"/>
    </row>
    <row r="39" spans="3:22" ht="15.75" x14ac:dyDescent="0.25">
      <c r="D39" s="36"/>
      <c r="E39" s="36"/>
      <c r="V39" s="28" t="s">
        <v>1</v>
      </c>
    </row>
    <row r="40" spans="3:22" x14ac:dyDescent="0.2">
      <c r="D40" s="36"/>
      <c r="E40" s="36"/>
      <c r="V40" s="242" t="s">
        <v>35</v>
      </c>
    </row>
    <row r="41" spans="3:22" x14ac:dyDescent="0.2">
      <c r="D41" s="36"/>
      <c r="E41" s="36"/>
      <c r="V41" s="242"/>
    </row>
    <row r="42" spans="3:22" x14ac:dyDescent="0.2">
      <c r="D42" s="36"/>
      <c r="E42" s="36"/>
      <c r="V42" s="242"/>
    </row>
    <row r="43" spans="3:22" x14ac:dyDescent="0.2">
      <c r="V43" s="242"/>
    </row>
    <row r="44" spans="3:22" x14ac:dyDescent="0.2">
      <c r="V44" s="242"/>
    </row>
    <row r="45" spans="3:22" x14ac:dyDescent="0.2">
      <c r="V45" s="242"/>
    </row>
    <row r="46" spans="3:22" x14ac:dyDescent="0.2">
      <c r="V46" s="242"/>
    </row>
    <row r="47" spans="3:22" x14ac:dyDescent="0.2">
      <c r="V47" s="242"/>
    </row>
    <row r="48" spans="3:22" x14ac:dyDescent="0.2">
      <c r="V48" s="242"/>
    </row>
    <row r="49" spans="4:22" x14ac:dyDescent="0.2">
      <c r="V49" s="242"/>
    </row>
    <row r="50" spans="4:22" x14ac:dyDescent="0.2">
      <c r="V50" s="242"/>
    </row>
    <row r="51" spans="4:22" x14ac:dyDescent="0.2">
      <c r="V51" s="180"/>
    </row>
    <row r="52" spans="4:22" x14ac:dyDescent="0.2">
      <c r="D52" s="36"/>
      <c r="E52" s="36"/>
    </row>
    <row r="53" spans="4:22" ht="15.75" x14ac:dyDescent="0.25">
      <c r="D53" s="36"/>
      <c r="E53" s="36"/>
      <c r="V53" s="28"/>
    </row>
    <row r="54" spans="4:22" x14ac:dyDescent="0.2">
      <c r="D54" s="36"/>
      <c r="E54" s="36"/>
      <c r="V54" s="184"/>
    </row>
    <row r="55" spans="4:22" x14ac:dyDescent="0.2">
      <c r="D55" s="36"/>
      <c r="E55" s="36"/>
      <c r="V55" s="184"/>
    </row>
    <row r="56" spans="4:22" x14ac:dyDescent="0.2">
      <c r="D56" s="36"/>
      <c r="E56" s="36"/>
      <c r="V56" s="184"/>
    </row>
    <row r="57" spans="4:22" x14ac:dyDescent="0.2">
      <c r="V57" s="184"/>
    </row>
    <row r="58" spans="4:22" x14ac:dyDescent="0.2">
      <c r="V58" s="184"/>
    </row>
    <row r="59" spans="4:22" x14ac:dyDescent="0.2">
      <c r="V59" s="184"/>
    </row>
    <row r="60" spans="4:22" x14ac:dyDescent="0.2">
      <c r="V60" s="184"/>
    </row>
    <row r="61" spans="4:22" x14ac:dyDescent="0.2">
      <c r="V61" s="184"/>
    </row>
    <row r="62" spans="4:22" x14ac:dyDescent="0.2">
      <c r="V62" s="184"/>
    </row>
    <row r="63" spans="4:22" x14ac:dyDescent="0.2">
      <c r="V63" s="184"/>
    </row>
    <row r="64" spans="4:22" x14ac:dyDescent="0.2">
      <c r="V64" s="184"/>
    </row>
    <row r="65" spans="3:22" x14ac:dyDescent="0.2">
      <c r="V65" s="180"/>
    </row>
    <row r="66" spans="3:22" x14ac:dyDescent="0.2">
      <c r="V66" s="180"/>
    </row>
    <row r="67" spans="3:22" x14ac:dyDescent="0.2">
      <c r="V67" s="180"/>
    </row>
    <row r="68" spans="3:22" x14ac:dyDescent="0.2">
      <c r="V68" s="180"/>
    </row>
    <row r="69" spans="3:22" ht="9.75" customHeight="1" x14ac:dyDescent="0.25">
      <c r="V69" s="28"/>
    </row>
    <row r="70" spans="3:22" s="147" customFormat="1" ht="9.75" customHeight="1" x14ac:dyDescent="0.2">
      <c r="C70" s="144"/>
      <c r="D70" s="145"/>
      <c r="E70" s="145"/>
      <c r="F70" s="145"/>
      <c r="G70" s="145"/>
      <c r="H70" s="145"/>
      <c r="I70" s="145"/>
      <c r="J70" s="145"/>
      <c r="K70" s="145"/>
      <c r="L70" s="145"/>
      <c r="M70" s="145"/>
      <c r="N70" s="145"/>
      <c r="O70" s="145"/>
      <c r="P70" s="145"/>
      <c r="Q70" s="145"/>
      <c r="R70" s="145"/>
      <c r="S70" s="145"/>
      <c r="T70" s="146"/>
      <c r="V70" s="148"/>
    </row>
    <row r="71" spans="3:22" ht="24.95" customHeight="1" x14ac:dyDescent="0.35">
      <c r="C71" s="58" t="s">
        <v>36</v>
      </c>
      <c r="D71" s="59"/>
      <c r="E71" s="26"/>
      <c r="T71" s="44"/>
      <c r="V71" s="28" t="s">
        <v>1</v>
      </c>
    </row>
    <row r="72" spans="3:22" ht="5.25" customHeight="1" x14ac:dyDescent="0.35">
      <c r="C72" s="45"/>
      <c r="D72" s="26"/>
      <c r="E72" s="26"/>
      <c r="T72" s="44"/>
    </row>
    <row r="73" spans="3:22" ht="15.75" x14ac:dyDescent="0.25">
      <c r="C73" s="45"/>
      <c r="D73" s="273" t="s">
        <v>37</v>
      </c>
      <c r="E73" s="273"/>
      <c r="F73" s="273"/>
      <c r="G73" s="273"/>
      <c r="H73" s="273"/>
      <c r="I73" s="273"/>
      <c r="K73" s="243" t="s">
        <v>38</v>
      </c>
      <c r="L73" s="243"/>
      <c r="M73" s="243"/>
      <c r="N73" s="243"/>
      <c r="O73" s="243"/>
      <c r="P73" s="243"/>
      <c r="Q73" s="243"/>
      <c r="R73" s="243"/>
      <c r="S73" s="243"/>
      <c r="T73" s="44"/>
      <c r="V73" s="232" t="s">
        <v>39</v>
      </c>
    </row>
    <row r="74" spans="3:22" ht="30" customHeight="1" x14ac:dyDescent="0.2">
      <c r="C74" s="45"/>
      <c r="D74" s="257" t="s">
        <v>448</v>
      </c>
      <c r="E74" s="258"/>
      <c r="F74" s="258"/>
      <c r="G74" s="258"/>
      <c r="H74" s="258"/>
      <c r="I74" s="259"/>
      <c r="J74" s="36"/>
      <c r="K74" s="280" t="s">
        <v>40</v>
      </c>
      <c r="L74" s="281"/>
      <c r="M74" s="281"/>
      <c r="N74" s="281"/>
      <c r="O74" s="281"/>
      <c r="P74" s="282"/>
      <c r="Q74" s="68" t="s">
        <v>41</v>
      </c>
      <c r="R74" s="69" t="s">
        <v>42</v>
      </c>
      <c r="S74" s="70" t="s">
        <v>43</v>
      </c>
      <c r="T74" s="44"/>
      <c r="V74" s="242"/>
    </row>
    <row r="75" spans="3:22" ht="27" customHeight="1" x14ac:dyDescent="0.2">
      <c r="C75" s="45"/>
      <c r="D75" s="260"/>
      <c r="E75" s="261"/>
      <c r="F75" s="261"/>
      <c r="G75" s="261"/>
      <c r="H75" s="261"/>
      <c r="I75" s="262"/>
      <c r="J75" s="36"/>
      <c r="K75" s="127" t="s">
        <v>44</v>
      </c>
      <c r="L75" s="229" t="s">
        <v>225</v>
      </c>
      <c r="M75" s="230"/>
      <c r="N75" s="230"/>
      <c r="O75" s="230"/>
      <c r="P75" s="231"/>
      <c r="Q75" s="174">
        <v>1</v>
      </c>
      <c r="R75" s="143">
        <v>45107</v>
      </c>
      <c r="S75" s="173" t="s">
        <v>316</v>
      </c>
      <c r="T75" s="44"/>
      <c r="V75" s="242"/>
    </row>
    <row r="76" spans="3:22" ht="28.5" x14ac:dyDescent="0.2">
      <c r="C76" s="45"/>
      <c r="D76" s="260"/>
      <c r="E76" s="261"/>
      <c r="F76" s="261"/>
      <c r="G76" s="261"/>
      <c r="H76" s="261"/>
      <c r="I76" s="262"/>
      <c r="J76" s="36"/>
      <c r="K76" s="127" t="s">
        <v>46</v>
      </c>
      <c r="L76" s="229" t="s">
        <v>446</v>
      </c>
      <c r="M76" s="230"/>
      <c r="N76" s="230"/>
      <c r="O76" s="230"/>
      <c r="P76" s="231"/>
      <c r="Q76" s="174">
        <v>2</v>
      </c>
      <c r="R76" s="143">
        <v>45107</v>
      </c>
      <c r="S76" s="173" t="s">
        <v>447</v>
      </c>
      <c r="T76" s="44"/>
      <c r="V76" s="242"/>
    </row>
    <row r="77" spans="3:22" ht="27" customHeight="1" x14ac:dyDescent="0.2">
      <c r="C77" s="45"/>
      <c r="D77" s="263"/>
      <c r="E77" s="264"/>
      <c r="F77" s="264"/>
      <c r="G77" s="264"/>
      <c r="H77" s="264"/>
      <c r="I77" s="265"/>
      <c r="K77" s="127" t="s">
        <v>50</v>
      </c>
      <c r="L77" s="229"/>
      <c r="M77" s="230"/>
      <c r="N77" s="230"/>
      <c r="O77" s="230"/>
      <c r="P77" s="231"/>
      <c r="Q77" s="174"/>
      <c r="R77" s="143"/>
      <c r="S77" s="173"/>
      <c r="T77" s="44"/>
      <c r="V77" s="242"/>
    </row>
    <row r="78" spans="3:22" ht="16.5" customHeight="1" x14ac:dyDescent="0.2">
      <c r="C78" s="45"/>
      <c r="D78" s="54"/>
      <c r="E78" s="54"/>
      <c r="F78" s="54"/>
      <c r="G78" s="54"/>
      <c r="H78" s="54"/>
      <c r="I78" s="54"/>
      <c r="K78" s="127" t="s">
        <v>67</v>
      </c>
      <c r="L78" s="229"/>
      <c r="M78" s="230"/>
      <c r="N78" s="230"/>
      <c r="O78" s="230"/>
      <c r="P78" s="231"/>
      <c r="Q78" s="142"/>
      <c r="R78" s="143"/>
      <c r="S78" s="156"/>
      <c r="T78" s="44"/>
      <c r="V78" s="242"/>
    </row>
    <row r="79" spans="3:22" ht="15.75" x14ac:dyDescent="0.25">
      <c r="C79" s="45"/>
      <c r="D79" s="46"/>
      <c r="E79" s="46"/>
      <c r="F79" s="46"/>
      <c r="G79" s="46"/>
      <c r="H79" s="46"/>
      <c r="I79" s="46"/>
      <c r="K79" s="127" t="s">
        <v>71</v>
      </c>
      <c r="L79" s="229"/>
      <c r="M79" s="230"/>
      <c r="N79" s="230"/>
      <c r="O79" s="230"/>
      <c r="P79" s="231"/>
      <c r="Q79" s="142"/>
      <c r="R79" s="143"/>
      <c r="S79" s="156"/>
      <c r="T79" s="44"/>
      <c r="V79" s="242"/>
    </row>
    <row r="80" spans="3:22" ht="16.5" customHeight="1" x14ac:dyDescent="0.25">
      <c r="C80" s="45"/>
      <c r="D80" s="46"/>
      <c r="E80" s="46"/>
      <c r="F80" s="46"/>
      <c r="G80" s="46"/>
      <c r="H80" s="46"/>
      <c r="I80" s="46"/>
      <c r="K80" s="127" t="s">
        <v>75</v>
      </c>
      <c r="L80" s="244"/>
      <c r="M80" s="245"/>
      <c r="N80" s="245"/>
      <c r="O80" s="245"/>
      <c r="P80" s="246"/>
      <c r="Q80" s="142"/>
      <c r="R80" s="143"/>
      <c r="S80" s="156"/>
      <c r="T80" s="44"/>
      <c r="V80" s="242"/>
    </row>
    <row r="81" spans="3:22" ht="15.75" x14ac:dyDescent="0.25">
      <c r="C81" s="45"/>
      <c r="D81" s="46" t="s">
        <v>51</v>
      </c>
      <c r="E81" s="46"/>
      <c r="F81" s="46"/>
      <c r="G81" s="46"/>
      <c r="H81" s="46"/>
      <c r="I81" s="46"/>
      <c r="K81" s="47"/>
      <c r="L81" s="54"/>
      <c r="M81" s="54"/>
      <c r="N81" s="54"/>
      <c r="O81" s="54"/>
      <c r="P81" s="54"/>
      <c r="Q81" s="48"/>
      <c r="R81" s="48"/>
      <c r="S81" s="72"/>
      <c r="T81" s="44"/>
      <c r="V81" s="242"/>
    </row>
    <row r="82" spans="3:22" ht="39" customHeight="1" x14ac:dyDescent="0.2">
      <c r="C82" s="45"/>
      <c r="D82" s="154" t="s">
        <v>52</v>
      </c>
      <c r="E82" s="253" t="s">
        <v>340</v>
      </c>
      <c r="F82" s="254"/>
      <c r="G82" s="254"/>
      <c r="H82" s="254"/>
      <c r="I82" s="255"/>
      <c r="K82" s="277" t="s">
        <v>53</v>
      </c>
      <c r="L82" s="278"/>
      <c r="M82" s="278"/>
      <c r="N82" s="278"/>
      <c r="O82" s="278"/>
      <c r="P82" s="279"/>
      <c r="Q82" s="128" t="s">
        <v>41</v>
      </c>
      <c r="R82" s="128" t="s">
        <v>54</v>
      </c>
      <c r="S82" s="129" t="s">
        <v>43</v>
      </c>
      <c r="T82" s="44"/>
      <c r="V82" s="242"/>
    </row>
    <row r="83" spans="3:22" ht="44.25" customHeight="1" x14ac:dyDescent="0.2">
      <c r="C83" s="45"/>
      <c r="D83" s="155" t="s">
        <v>55</v>
      </c>
      <c r="E83" s="229" t="s">
        <v>436</v>
      </c>
      <c r="F83" s="230"/>
      <c r="G83" s="230"/>
      <c r="H83" s="230"/>
      <c r="I83" s="256"/>
      <c r="K83" s="119" t="s">
        <v>48</v>
      </c>
      <c r="L83" s="274"/>
      <c r="M83" s="275"/>
      <c r="N83" s="275"/>
      <c r="O83" s="275"/>
      <c r="P83" s="276"/>
      <c r="Q83" s="193"/>
      <c r="R83" s="194"/>
      <c r="S83" s="195"/>
      <c r="T83" s="44"/>
      <c r="V83" s="242"/>
    </row>
    <row r="84" spans="3:22" ht="33.75" customHeight="1" x14ac:dyDescent="0.2">
      <c r="C84" s="45"/>
      <c r="D84" s="140" t="s">
        <v>59</v>
      </c>
      <c r="E84" s="229"/>
      <c r="F84" s="230"/>
      <c r="G84" s="230"/>
      <c r="H84" s="230"/>
      <c r="I84" s="256"/>
      <c r="J84" s="32"/>
      <c r="K84" s="127" t="s">
        <v>46</v>
      </c>
      <c r="L84" s="226"/>
      <c r="M84" s="223"/>
      <c r="N84" s="223"/>
      <c r="O84" s="223"/>
      <c r="P84" s="224"/>
      <c r="Q84" s="141"/>
      <c r="R84" s="121"/>
      <c r="S84" s="122"/>
      <c r="T84" s="44"/>
      <c r="V84" s="242"/>
    </row>
    <row r="85" spans="3:22" x14ac:dyDescent="0.2">
      <c r="C85" s="45"/>
      <c r="D85" s="127" t="s">
        <v>62</v>
      </c>
      <c r="E85" s="229"/>
      <c r="F85" s="230"/>
      <c r="G85" s="230"/>
      <c r="H85" s="230"/>
      <c r="I85" s="256"/>
      <c r="J85" s="32"/>
      <c r="K85" s="127" t="s">
        <v>50</v>
      </c>
      <c r="L85" s="226"/>
      <c r="M85" s="223"/>
      <c r="N85" s="223"/>
      <c r="O85" s="223"/>
      <c r="P85" s="224"/>
      <c r="Q85" s="120"/>
      <c r="R85" s="121"/>
      <c r="S85" s="122"/>
      <c r="T85" s="44"/>
      <c r="V85" s="242"/>
    </row>
    <row r="86" spans="3:22" ht="30.75" customHeight="1" x14ac:dyDescent="0.2">
      <c r="C86" s="45"/>
      <c r="D86" s="127" t="s">
        <v>66</v>
      </c>
      <c r="E86" s="229"/>
      <c r="F86" s="230"/>
      <c r="G86" s="230"/>
      <c r="H86" s="230"/>
      <c r="I86" s="256"/>
      <c r="J86" s="47"/>
      <c r="K86" s="119" t="s">
        <v>67</v>
      </c>
      <c r="L86" s="222"/>
      <c r="M86" s="223"/>
      <c r="N86" s="223"/>
      <c r="O86" s="223"/>
      <c r="P86" s="224"/>
      <c r="Q86" s="120"/>
      <c r="R86" s="121"/>
      <c r="S86" s="153"/>
      <c r="T86" s="44"/>
      <c r="V86" s="242"/>
    </row>
    <row r="87" spans="3:22" ht="14.25" hidden="1" customHeight="1" x14ac:dyDescent="0.2">
      <c r="C87" s="45"/>
      <c r="D87" s="127" t="s">
        <v>70</v>
      </c>
      <c r="E87" s="229"/>
      <c r="F87" s="230"/>
      <c r="G87" s="230"/>
      <c r="H87" s="230"/>
      <c r="I87" s="256"/>
      <c r="J87" s="138"/>
      <c r="K87" s="119"/>
      <c r="L87" s="222"/>
      <c r="M87" s="223"/>
      <c r="N87" s="223"/>
      <c r="O87" s="223"/>
      <c r="P87" s="224"/>
      <c r="Q87" s="120"/>
      <c r="R87" s="121"/>
      <c r="S87" s="153"/>
      <c r="T87" s="44"/>
      <c r="V87" s="242"/>
    </row>
    <row r="88" spans="3:22" ht="15" hidden="1" customHeight="1" x14ac:dyDescent="0.2">
      <c r="C88" s="45"/>
      <c r="D88" s="127" t="s">
        <v>74</v>
      </c>
      <c r="E88" s="229"/>
      <c r="F88" s="230"/>
      <c r="G88" s="230"/>
      <c r="H88" s="230"/>
      <c r="I88" s="256"/>
      <c r="J88" s="137"/>
      <c r="K88" s="119"/>
      <c r="L88" s="222"/>
      <c r="M88" s="267"/>
      <c r="N88" s="267"/>
      <c r="O88" s="267"/>
      <c r="P88" s="268"/>
      <c r="Q88" s="141"/>
      <c r="R88" s="121"/>
      <c r="S88" s="122"/>
      <c r="T88" s="44"/>
      <c r="V88" s="242"/>
    </row>
    <row r="89" spans="3:22" ht="6.75" customHeight="1" x14ac:dyDescent="0.2">
      <c r="C89" s="45"/>
      <c r="D89" s="71"/>
      <c r="E89" s="283"/>
      <c r="F89" s="284"/>
      <c r="G89" s="284"/>
      <c r="H89" s="284"/>
      <c r="I89" s="285"/>
      <c r="J89" s="139"/>
      <c r="K89" s="123"/>
      <c r="L89" s="269"/>
      <c r="M89" s="269"/>
      <c r="N89" s="269"/>
      <c r="O89" s="269"/>
      <c r="P89" s="269"/>
      <c r="Q89" s="124"/>
      <c r="R89" s="125"/>
      <c r="S89" s="126"/>
      <c r="T89" s="44"/>
      <c r="V89" s="242"/>
    </row>
    <row r="90" spans="3:22" hidden="1" x14ac:dyDescent="0.2">
      <c r="C90" s="45"/>
      <c r="D90" s="127"/>
      <c r="E90" s="247"/>
      <c r="F90" s="248"/>
      <c r="G90" s="248"/>
      <c r="H90" s="248"/>
      <c r="I90" s="248"/>
      <c r="J90" s="272"/>
      <c r="K90" s="248"/>
      <c r="L90" s="248"/>
      <c r="M90" s="248"/>
      <c r="N90" s="248"/>
      <c r="O90" s="248"/>
      <c r="P90" s="248"/>
      <c r="Q90" s="248"/>
      <c r="R90" s="248"/>
      <c r="S90" s="249"/>
      <c r="T90" s="44"/>
      <c r="V90" s="242"/>
    </row>
    <row r="91" spans="3:22" ht="57" hidden="1" customHeight="1" x14ac:dyDescent="0.2">
      <c r="C91" s="45"/>
      <c r="D91" s="127"/>
      <c r="E91" s="247"/>
      <c r="F91" s="248"/>
      <c r="G91" s="248"/>
      <c r="H91" s="248"/>
      <c r="I91" s="248"/>
      <c r="J91" s="248"/>
      <c r="K91" s="248"/>
      <c r="L91" s="248"/>
      <c r="M91" s="248"/>
      <c r="N91" s="248"/>
      <c r="O91" s="248"/>
      <c r="P91" s="248"/>
      <c r="Q91" s="248"/>
      <c r="R91" s="248"/>
      <c r="S91" s="249"/>
      <c r="T91" s="44"/>
      <c r="V91" s="242"/>
    </row>
    <row r="92" spans="3:22" hidden="1" x14ac:dyDescent="0.2">
      <c r="C92" s="45"/>
      <c r="D92" s="71"/>
      <c r="E92" s="250"/>
      <c r="F92" s="251"/>
      <c r="G92" s="251"/>
      <c r="H92" s="251"/>
      <c r="I92" s="251"/>
      <c r="J92" s="251"/>
      <c r="K92" s="251"/>
      <c r="L92" s="251"/>
      <c r="M92" s="251"/>
      <c r="N92" s="251"/>
      <c r="O92" s="251"/>
      <c r="P92" s="251"/>
      <c r="Q92" s="251"/>
      <c r="R92" s="251"/>
      <c r="S92" s="252"/>
      <c r="T92" s="44"/>
      <c r="V92" s="242"/>
    </row>
    <row r="93" spans="3:22" ht="15" hidden="1" customHeight="1" x14ac:dyDescent="0.2">
      <c r="C93" s="45"/>
      <c r="D93" s="134" t="s">
        <v>70</v>
      </c>
      <c r="E93" s="270"/>
      <c r="F93" s="270"/>
      <c r="G93" s="270"/>
      <c r="H93" s="270"/>
      <c r="I93" s="271"/>
      <c r="K93" s="130"/>
      <c r="L93" s="266"/>
      <c r="M93" s="266"/>
      <c r="N93" s="266"/>
      <c r="O93" s="266"/>
      <c r="P93" s="266"/>
      <c r="Q93" s="131"/>
      <c r="R93" s="132"/>
      <c r="S93" s="133"/>
      <c r="T93" s="44"/>
      <c r="V93" s="242"/>
    </row>
    <row r="94" spans="3:22" ht="6.75" customHeight="1" x14ac:dyDescent="0.2">
      <c r="C94" s="49"/>
      <c r="D94" s="50"/>
      <c r="E94" s="50"/>
      <c r="F94" s="50"/>
      <c r="G94" s="41"/>
      <c r="H94" s="41"/>
      <c r="I94" s="41"/>
      <c r="J94" s="50"/>
      <c r="K94" s="50"/>
      <c r="L94" s="50"/>
      <c r="M94" s="50"/>
      <c r="N94" s="50"/>
      <c r="O94" s="50"/>
      <c r="P94" s="50"/>
      <c r="Q94" s="50"/>
      <c r="R94" s="50"/>
      <c r="S94" s="50"/>
      <c r="T94" s="51"/>
      <c r="V94" s="242"/>
    </row>
    <row r="95" spans="3:22" x14ac:dyDescent="0.2">
      <c r="I95" s="21"/>
      <c r="J95" s="21"/>
      <c r="K95" s="21"/>
      <c r="L95" s="21"/>
      <c r="P95" s="21"/>
      <c r="Q95" s="21"/>
      <c r="R95" s="21"/>
      <c r="S95" s="21"/>
    </row>
    <row r="96" spans="3:22" x14ac:dyDescent="0.2">
      <c r="K96" s="21"/>
      <c r="L96" s="21"/>
      <c r="P96" s="21"/>
      <c r="Q96" s="21"/>
      <c r="R96" s="21"/>
      <c r="S96" s="21"/>
    </row>
    <row r="111" ht="19.5" customHeight="1" x14ac:dyDescent="0.2"/>
  </sheetData>
  <mergeCells count="60">
    <mergeCell ref="E90:S90"/>
    <mergeCell ref="E86:I86"/>
    <mergeCell ref="D29:E35"/>
    <mergeCell ref="G29:L35"/>
    <mergeCell ref="D73:I73"/>
    <mergeCell ref="L83:P83"/>
    <mergeCell ref="K82:P82"/>
    <mergeCell ref="L85:P85"/>
    <mergeCell ref="K74:P74"/>
    <mergeCell ref="L75:P75"/>
    <mergeCell ref="L76:P76"/>
    <mergeCell ref="L77:P77"/>
    <mergeCell ref="E87:I87"/>
    <mergeCell ref="E88:I88"/>
    <mergeCell ref="E89:I89"/>
    <mergeCell ref="L87:P87"/>
    <mergeCell ref="V40:V50"/>
    <mergeCell ref="K73:S73"/>
    <mergeCell ref="V73:V94"/>
    <mergeCell ref="L78:P78"/>
    <mergeCell ref="L80:P80"/>
    <mergeCell ref="E91:S91"/>
    <mergeCell ref="E92:S92"/>
    <mergeCell ref="E82:I82"/>
    <mergeCell ref="E83:I83"/>
    <mergeCell ref="E84:I84"/>
    <mergeCell ref="E85:I85"/>
    <mergeCell ref="D74:I77"/>
    <mergeCell ref="L93:P93"/>
    <mergeCell ref="L88:P88"/>
    <mergeCell ref="L89:P89"/>
    <mergeCell ref="E93:I93"/>
    <mergeCell ref="D26:E26"/>
    <mergeCell ref="N21:N24"/>
    <mergeCell ref="D6:E6"/>
    <mergeCell ref="D21:E24"/>
    <mergeCell ref="G21:L24"/>
    <mergeCell ref="J6:L6"/>
    <mergeCell ref="V6:V36"/>
    <mergeCell ref="D8:E8"/>
    <mergeCell ref="J8:L8"/>
    <mergeCell ref="P8:S8"/>
    <mergeCell ref="G10:L13"/>
    <mergeCell ref="P10:S13"/>
    <mergeCell ref="N11:N12"/>
    <mergeCell ref="U11:U12"/>
    <mergeCell ref="D15:E15"/>
    <mergeCell ref="I15:L15"/>
    <mergeCell ref="P15:S19"/>
    <mergeCell ref="D16:E20"/>
    <mergeCell ref="P6:S6"/>
    <mergeCell ref="G26:L27"/>
    <mergeCell ref="P26:S27"/>
    <mergeCell ref="P29:S35"/>
    <mergeCell ref="L86:P86"/>
    <mergeCell ref="G17:L19"/>
    <mergeCell ref="L84:P84"/>
    <mergeCell ref="N16:N19"/>
    <mergeCell ref="P21:S24"/>
    <mergeCell ref="L79:P79"/>
  </mergeCells>
  <conditionalFormatting sqref="G6">
    <cfRule type="expression" dxfId="25" priority="1">
      <formula>AND(MOD(ROW(),2)=1,NOT(ISBLANK($C6)))</formula>
    </cfRule>
    <cfRule type="expression" dxfId="24" priority="2">
      <formula>NOT(ISBLANK($C6))</formula>
    </cfRule>
  </conditionalFormatting>
  <dataValidations disablePrompts="1" count="2">
    <dataValidation allowBlank="1" showInputMessage="1" showErrorMessage="1" promptTitle="KPI ID" prompt="Provide KPI ID, if already existing. ID is assigned by Corporate Quality Management" sqref="F6" xr:uid="{07F6CEA2-C23D-410C-A813-D6D29538DF28}"/>
    <dataValidation allowBlank="1" showInputMessage="1" showErrorMessage="1" promptTitle="KPI ID" prompt="KPI ID is provided by IT Cost Management" sqref="D6" xr:uid="{D6B13EAA-8D34-4BEE-8444-130F3F1CA653}"/>
  </dataValidations>
  <pageMargins left="0.70866141732283472" right="0.70866141732283472" top="0.74803149606299213" bottom="0.74803149606299213" header="0.31496062992125984" footer="0.31496062992125984"/>
  <pageSetup scale="46" orientation="portrait" r:id="rId1"/>
  <headerFooter>
    <oddFooter>&amp;CNumber of Major Incidents&amp;R&amp;D&amp;L&amp;"Calibri"&amp;11&amp;K000000&amp;"Arial,Standard"&amp;10&amp;K000000IT KPI Reporting_x000D_&amp;1#&amp;"Arial"&amp;10&amp;K000000[Internal]</oddFooter>
  </headerFooter>
  <customProperties>
    <customPr name="IbpWorksheetKeyString_GU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80E2C-4618-4032-9901-E0541A31132F}">
  <dimension ref="A1:V82"/>
  <sheetViews>
    <sheetView topLeftCell="A4" workbookViewId="0">
      <selection activeCell="D56" sqref="D56"/>
    </sheetView>
  </sheetViews>
  <sheetFormatPr defaultColWidth="9.140625" defaultRowHeight="15" outlineLevelRow="1" x14ac:dyDescent="0.25"/>
  <cols>
    <col min="1" max="1" width="9.140625" style="1"/>
    <col min="2" max="2" width="40.28515625" style="1" customWidth="1"/>
    <col min="3" max="3" width="9.85546875" style="1" bestFit="1" customWidth="1"/>
    <col min="4" max="4" width="16.140625" style="1" customWidth="1"/>
    <col min="5" max="5" width="14.5703125" style="1" bestFit="1" customWidth="1"/>
    <col min="6" max="6" width="24.42578125" style="1" customWidth="1"/>
    <col min="7" max="7" width="14.140625" style="1" bestFit="1" customWidth="1"/>
    <col min="8" max="8" width="60.5703125" style="1" customWidth="1"/>
    <col min="9" max="9" width="24.85546875" style="1" customWidth="1"/>
    <col min="10" max="16384" width="9.140625" style="1"/>
  </cols>
  <sheetData>
    <row r="1" spans="1:22" x14ac:dyDescent="0.25">
      <c r="B1" s="2"/>
    </row>
    <row r="2" spans="1:22" ht="15.75" x14ac:dyDescent="0.25">
      <c r="A2" s="286" t="s">
        <v>79</v>
      </c>
      <c r="B2" s="286"/>
      <c r="C2" s="286"/>
      <c r="D2" s="286"/>
    </row>
    <row r="3" spans="1:22" x14ac:dyDescent="0.25">
      <c r="A3" s="3"/>
      <c r="B3" s="3"/>
      <c r="C3" s="3"/>
      <c r="D3" s="3"/>
    </row>
    <row r="4" spans="1:22" x14ac:dyDescent="0.25">
      <c r="B4" s="4"/>
      <c r="C4" s="5" t="s">
        <v>10</v>
      </c>
      <c r="D4" s="5" t="s">
        <v>301</v>
      </c>
      <c r="E4" s="5" t="s">
        <v>300</v>
      </c>
      <c r="F4" s="62" t="s">
        <v>81</v>
      </c>
      <c r="G4" s="5" t="s">
        <v>293</v>
      </c>
      <c r="H4" s="6" t="s">
        <v>82</v>
      </c>
    </row>
    <row r="5" spans="1:22" customFormat="1" hidden="1" outlineLevel="1" x14ac:dyDescent="0.25">
      <c r="B5" s="7">
        <v>42736</v>
      </c>
      <c r="C5" s="8">
        <v>5</v>
      </c>
      <c r="D5" s="8">
        <v>1</v>
      </c>
      <c r="E5" s="8"/>
      <c r="F5" s="8"/>
      <c r="H5" s="8"/>
      <c r="J5" s="1"/>
      <c r="K5" s="1"/>
      <c r="L5" s="1"/>
      <c r="M5" s="1"/>
      <c r="N5" s="1"/>
      <c r="O5" s="1"/>
      <c r="P5" s="1"/>
      <c r="Q5" s="1"/>
      <c r="R5" s="1"/>
      <c r="S5" s="1"/>
      <c r="T5" s="1"/>
      <c r="U5" s="1"/>
      <c r="V5" s="1"/>
    </row>
    <row r="6" spans="1:22" hidden="1" outlineLevel="1" x14ac:dyDescent="0.25">
      <c r="B6" s="9">
        <v>42767</v>
      </c>
      <c r="C6" s="6">
        <v>5</v>
      </c>
      <c r="D6" s="6">
        <v>4</v>
      </c>
      <c r="E6" s="6"/>
      <c r="F6" s="6"/>
      <c r="H6" s="6"/>
    </row>
    <row r="7" spans="1:22" hidden="1" outlineLevel="1" x14ac:dyDescent="0.25">
      <c r="B7" s="9">
        <v>42795</v>
      </c>
      <c r="C7" s="6">
        <v>5</v>
      </c>
      <c r="D7" s="6">
        <v>10</v>
      </c>
      <c r="E7" s="6"/>
      <c r="F7" s="6"/>
      <c r="H7" s="6"/>
    </row>
    <row r="8" spans="1:22" hidden="1" outlineLevel="1" x14ac:dyDescent="0.25">
      <c r="B8" s="9">
        <v>42826</v>
      </c>
      <c r="C8" s="6">
        <v>5</v>
      </c>
      <c r="D8" s="6">
        <v>8</v>
      </c>
      <c r="E8" s="6"/>
      <c r="F8" s="6"/>
      <c r="H8" s="6"/>
    </row>
    <row r="9" spans="1:22" hidden="1" outlineLevel="1" x14ac:dyDescent="0.25">
      <c r="B9" s="7">
        <v>42856</v>
      </c>
      <c r="C9" s="8">
        <v>5</v>
      </c>
      <c r="D9" s="8">
        <v>10</v>
      </c>
      <c r="E9" s="8"/>
      <c r="F9" s="8"/>
      <c r="H9" s="6"/>
    </row>
    <row r="10" spans="1:22" hidden="1" outlineLevel="1" x14ac:dyDescent="0.25">
      <c r="B10" s="7">
        <v>42887</v>
      </c>
      <c r="C10" s="8">
        <v>5</v>
      </c>
      <c r="D10" s="8">
        <v>9</v>
      </c>
      <c r="E10" s="8"/>
      <c r="F10" s="8"/>
      <c r="H10" s="6"/>
    </row>
    <row r="11" spans="1:22" hidden="1" outlineLevel="1" x14ac:dyDescent="0.25">
      <c r="B11" s="7">
        <v>42917</v>
      </c>
      <c r="C11" s="8">
        <v>5</v>
      </c>
      <c r="D11" s="8">
        <v>3</v>
      </c>
      <c r="E11" s="8"/>
      <c r="F11" s="8"/>
      <c r="H11" s="6"/>
    </row>
    <row r="12" spans="1:22" hidden="1" outlineLevel="1" x14ac:dyDescent="0.25">
      <c r="B12" s="7">
        <v>42948</v>
      </c>
      <c r="C12" s="8">
        <v>5</v>
      </c>
      <c r="D12" s="8">
        <v>11</v>
      </c>
      <c r="E12" s="8"/>
      <c r="F12" s="8"/>
      <c r="H12" s="6"/>
    </row>
    <row r="13" spans="1:22" hidden="1" outlineLevel="1" x14ac:dyDescent="0.25">
      <c r="B13" s="7">
        <v>42979</v>
      </c>
      <c r="C13" s="8">
        <v>5</v>
      </c>
      <c r="D13" s="8">
        <v>5</v>
      </c>
      <c r="E13" s="8"/>
      <c r="F13" s="8"/>
      <c r="H13" s="6"/>
    </row>
    <row r="14" spans="1:22" hidden="1" outlineLevel="1" x14ac:dyDescent="0.25">
      <c r="B14" s="7">
        <v>43009</v>
      </c>
      <c r="C14" s="8">
        <v>5</v>
      </c>
      <c r="D14" s="8">
        <v>2</v>
      </c>
      <c r="E14" s="8"/>
      <c r="F14" s="8"/>
      <c r="H14" s="6"/>
    </row>
    <row r="15" spans="1:22" hidden="1" outlineLevel="1" x14ac:dyDescent="0.25">
      <c r="B15" s="7">
        <v>43040</v>
      </c>
      <c r="C15" s="8">
        <v>5</v>
      </c>
      <c r="D15" s="8">
        <v>6</v>
      </c>
      <c r="E15" s="8"/>
      <c r="F15" s="8"/>
      <c r="H15" s="6"/>
    </row>
    <row r="16" spans="1:22" hidden="1" outlineLevel="1" x14ac:dyDescent="0.25">
      <c r="B16" s="7">
        <v>43070</v>
      </c>
      <c r="C16" s="8">
        <v>5</v>
      </c>
      <c r="D16" s="8">
        <v>5</v>
      </c>
      <c r="E16" s="8"/>
      <c r="F16" s="8"/>
      <c r="H16" s="6"/>
    </row>
    <row r="17" spans="2:8" hidden="1" collapsed="1" x14ac:dyDescent="0.25">
      <c r="B17" s="7">
        <v>43831</v>
      </c>
      <c r="C17" s="8">
        <v>5</v>
      </c>
      <c r="D17" s="8">
        <v>7</v>
      </c>
      <c r="E17" s="63"/>
      <c r="F17" s="63"/>
      <c r="H17" s="6"/>
    </row>
    <row r="18" spans="2:8" hidden="1" x14ac:dyDescent="0.25">
      <c r="B18" s="7">
        <v>43862</v>
      </c>
      <c r="C18" s="8">
        <v>5</v>
      </c>
      <c r="D18" s="8">
        <v>9</v>
      </c>
      <c r="E18" s="63"/>
      <c r="F18" s="63"/>
      <c r="H18" s="6"/>
    </row>
    <row r="19" spans="2:8" hidden="1" x14ac:dyDescent="0.25">
      <c r="B19" s="7">
        <v>43891</v>
      </c>
      <c r="C19" s="8">
        <v>5</v>
      </c>
      <c r="D19" s="8">
        <v>5</v>
      </c>
      <c r="E19" s="63"/>
      <c r="F19" s="63"/>
      <c r="H19" s="6"/>
    </row>
    <row r="20" spans="2:8" hidden="1" x14ac:dyDescent="0.25">
      <c r="B20" s="7">
        <v>43941</v>
      </c>
      <c r="C20" s="8">
        <v>5</v>
      </c>
      <c r="D20" s="8">
        <v>6</v>
      </c>
      <c r="E20" s="63"/>
      <c r="F20" s="63"/>
      <c r="H20" s="6"/>
    </row>
    <row r="21" spans="2:8" hidden="1" x14ac:dyDescent="0.25">
      <c r="B21" s="7">
        <v>43971</v>
      </c>
      <c r="C21" s="8">
        <v>5</v>
      </c>
      <c r="D21" s="8">
        <v>7</v>
      </c>
      <c r="E21" s="63"/>
      <c r="F21" s="63"/>
      <c r="H21" s="6"/>
    </row>
    <row r="22" spans="2:8" hidden="1" x14ac:dyDescent="0.25">
      <c r="B22" s="7">
        <v>44002</v>
      </c>
      <c r="C22" s="8">
        <v>5</v>
      </c>
      <c r="D22" s="8">
        <v>9</v>
      </c>
      <c r="E22" s="63"/>
      <c r="F22" s="63"/>
    </row>
    <row r="23" spans="2:8" hidden="1" x14ac:dyDescent="0.25">
      <c r="B23" s="7">
        <v>44032</v>
      </c>
      <c r="C23" s="8">
        <v>5</v>
      </c>
      <c r="D23" s="8">
        <v>15</v>
      </c>
      <c r="E23" s="63"/>
      <c r="F23" s="63"/>
    </row>
    <row r="24" spans="2:8" hidden="1" x14ac:dyDescent="0.25">
      <c r="B24" s="7">
        <v>44063</v>
      </c>
      <c r="C24" s="8">
        <v>5</v>
      </c>
      <c r="D24" s="8">
        <v>12</v>
      </c>
      <c r="E24" s="63"/>
      <c r="F24" s="63"/>
    </row>
    <row r="25" spans="2:8" hidden="1" x14ac:dyDescent="0.25">
      <c r="B25" s="7">
        <v>44094</v>
      </c>
      <c r="C25" s="8">
        <v>5</v>
      </c>
      <c r="D25" s="8">
        <v>9</v>
      </c>
      <c r="E25" s="63"/>
      <c r="F25" s="63"/>
    </row>
    <row r="26" spans="2:8" hidden="1" x14ac:dyDescent="0.25">
      <c r="B26" s="7">
        <v>44124</v>
      </c>
      <c r="C26" s="8">
        <v>5</v>
      </c>
      <c r="D26" s="8">
        <v>7</v>
      </c>
      <c r="E26" s="63"/>
      <c r="F26" s="63"/>
    </row>
    <row r="27" spans="2:8" hidden="1" x14ac:dyDescent="0.25">
      <c r="B27" s="7">
        <v>44155</v>
      </c>
      <c r="C27" s="8">
        <v>5</v>
      </c>
      <c r="D27" s="8">
        <v>10</v>
      </c>
      <c r="E27" s="8"/>
      <c r="F27" s="8"/>
      <c r="H27" s="6"/>
    </row>
    <row r="28" spans="2:8" hidden="1" x14ac:dyDescent="0.25">
      <c r="B28" s="7">
        <v>44185</v>
      </c>
      <c r="C28" s="8">
        <v>5</v>
      </c>
      <c r="D28" s="8">
        <v>10</v>
      </c>
      <c r="E28" s="8"/>
      <c r="F28" s="8"/>
      <c r="H28" s="6"/>
    </row>
    <row r="29" spans="2:8" hidden="1" x14ac:dyDescent="0.25">
      <c r="B29" s="7">
        <v>44216</v>
      </c>
      <c r="C29" s="8">
        <v>5</v>
      </c>
      <c r="D29" s="8">
        <v>9</v>
      </c>
      <c r="E29" s="8"/>
      <c r="F29" s="8"/>
      <c r="H29" s="6"/>
    </row>
    <row r="30" spans="2:8" hidden="1" x14ac:dyDescent="0.25">
      <c r="B30" s="7">
        <v>44247</v>
      </c>
      <c r="C30" s="8">
        <v>5</v>
      </c>
      <c r="D30" s="8">
        <v>7</v>
      </c>
      <c r="E30" s="8"/>
      <c r="F30" s="8"/>
      <c r="H30" s="6"/>
    </row>
    <row r="31" spans="2:8" hidden="1" x14ac:dyDescent="0.25">
      <c r="B31" s="7">
        <v>44275</v>
      </c>
      <c r="C31" s="8">
        <v>7</v>
      </c>
      <c r="D31" s="8">
        <v>11</v>
      </c>
      <c r="E31" s="8"/>
      <c r="F31" s="8"/>
      <c r="H31" s="6"/>
    </row>
    <row r="32" spans="2:8" hidden="1" x14ac:dyDescent="0.25">
      <c r="B32" s="7">
        <v>44306</v>
      </c>
      <c r="C32" s="8">
        <v>7</v>
      </c>
      <c r="D32" s="8">
        <v>9</v>
      </c>
      <c r="E32" s="8"/>
      <c r="F32" s="8"/>
      <c r="H32" s="6"/>
    </row>
    <row r="33" spans="2:8" hidden="1" x14ac:dyDescent="0.25">
      <c r="B33" s="7">
        <v>44336</v>
      </c>
      <c r="C33" s="8">
        <v>7</v>
      </c>
      <c r="D33" s="8">
        <v>9</v>
      </c>
      <c r="E33" s="8"/>
      <c r="F33" s="8"/>
      <c r="H33" s="6"/>
    </row>
    <row r="34" spans="2:8" hidden="1" x14ac:dyDescent="0.25">
      <c r="B34" s="7">
        <v>44367</v>
      </c>
      <c r="C34" s="8">
        <v>7</v>
      </c>
      <c r="D34" s="8">
        <v>10</v>
      </c>
      <c r="E34" s="8"/>
      <c r="F34" s="8"/>
      <c r="H34" s="6"/>
    </row>
    <row r="35" spans="2:8" hidden="1" x14ac:dyDescent="0.25">
      <c r="B35" s="7">
        <v>44397</v>
      </c>
      <c r="C35" s="8">
        <v>7</v>
      </c>
      <c r="D35" s="8">
        <v>6</v>
      </c>
      <c r="E35" s="8"/>
      <c r="F35" s="8"/>
      <c r="H35" s="6"/>
    </row>
    <row r="36" spans="2:8" hidden="1" x14ac:dyDescent="0.25">
      <c r="B36" s="7">
        <v>44428</v>
      </c>
      <c r="C36" s="8">
        <v>7</v>
      </c>
      <c r="D36" s="8">
        <v>7</v>
      </c>
      <c r="E36" s="8"/>
      <c r="F36" s="8"/>
      <c r="H36" s="6"/>
    </row>
    <row r="37" spans="2:8" hidden="1" x14ac:dyDescent="0.25">
      <c r="B37" s="7">
        <v>44459</v>
      </c>
      <c r="C37" s="8">
        <v>7</v>
      </c>
      <c r="D37" s="8">
        <v>6</v>
      </c>
      <c r="E37" s="8"/>
      <c r="F37" s="8"/>
      <c r="H37" s="6"/>
    </row>
    <row r="38" spans="2:8" hidden="1" x14ac:dyDescent="0.25">
      <c r="B38" s="7">
        <v>44490</v>
      </c>
      <c r="C38" s="8">
        <v>7</v>
      </c>
      <c r="D38" s="8">
        <v>4</v>
      </c>
      <c r="E38" s="8"/>
      <c r="F38" s="8"/>
      <c r="H38" s="6"/>
    </row>
    <row r="39" spans="2:8" hidden="1" x14ac:dyDescent="0.25">
      <c r="B39" s="7">
        <v>44522</v>
      </c>
      <c r="C39" s="8">
        <v>7</v>
      </c>
      <c r="D39" s="8">
        <v>11</v>
      </c>
      <c r="E39" s="8"/>
      <c r="F39" s="8"/>
      <c r="H39" s="6"/>
    </row>
    <row r="40" spans="2:8" hidden="1" x14ac:dyDescent="0.25">
      <c r="B40" s="7">
        <v>44553</v>
      </c>
      <c r="C40" s="8">
        <v>7</v>
      </c>
      <c r="D40" s="8">
        <v>6</v>
      </c>
      <c r="E40" s="8"/>
      <c r="F40" s="8"/>
      <c r="H40" s="6"/>
    </row>
    <row r="41" spans="2:8" hidden="1" x14ac:dyDescent="0.25">
      <c r="B41" s="7">
        <v>44584</v>
      </c>
      <c r="C41" s="8">
        <v>7</v>
      </c>
      <c r="D41" s="8">
        <v>5</v>
      </c>
      <c r="E41" s="8"/>
      <c r="F41" s="8"/>
      <c r="H41" s="6"/>
    </row>
    <row r="42" spans="2:8" x14ac:dyDescent="0.25">
      <c r="B42" s="7">
        <v>44615</v>
      </c>
      <c r="C42" s="8">
        <v>7</v>
      </c>
      <c r="D42" s="8">
        <v>7</v>
      </c>
      <c r="E42" s="203">
        <f t="shared" ref="E42:E52" si="0">AVERAGE(D31:D42)</f>
        <v>7.583333333333333</v>
      </c>
      <c r="F42" s="8"/>
      <c r="H42" s="6"/>
    </row>
    <row r="43" spans="2:8" x14ac:dyDescent="0.25">
      <c r="B43" s="7">
        <v>44646</v>
      </c>
      <c r="C43" s="8">
        <v>7</v>
      </c>
      <c r="D43" s="8">
        <v>6</v>
      </c>
      <c r="E43" s="203">
        <f t="shared" si="0"/>
        <v>7.166666666666667</v>
      </c>
      <c r="F43" s="8"/>
      <c r="H43" s="6"/>
    </row>
    <row r="44" spans="2:8" x14ac:dyDescent="0.25">
      <c r="B44" s="7">
        <v>44677</v>
      </c>
      <c r="C44" s="8">
        <v>7</v>
      </c>
      <c r="D44" s="8">
        <v>6</v>
      </c>
      <c r="E44" s="203">
        <f t="shared" si="0"/>
        <v>6.916666666666667</v>
      </c>
      <c r="F44" s="8"/>
      <c r="H44" s="6"/>
    </row>
    <row r="45" spans="2:8" x14ac:dyDescent="0.25">
      <c r="B45" s="7">
        <v>44708</v>
      </c>
      <c r="C45" s="8">
        <v>7</v>
      </c>
      <c r="D45" s="8">
        <v>8</v>
      </c>
      <c r="E45" s="203">
        <f t="shared" si="0"/>
        <v>6.833333333333333</v>
      </c>
      <c r="F45" s="8"/>
      <c r="H45" s="6"/>
    </row>
    <row r="46" spans="2:8" x14ac:dyDescent="0.25">
      <c r="B46" s="7">
        <v>44739</v>
      </c>
      <c r="C46" s="8">
        <v>7</v>
      </c>
      <c r="D46" s="8">
        <v>8</v>
      </c>
      <c r="E46" s="203">
        <f t="shared" si="0"/>
        <v>6.666666666666667</v>
      </c>
      <c r="F46" s="8"/>
      <c r="H46" s="6"/>
    </row>
    <row r="47" spans="2:8" x14ac:dyDescent="0.25">
      <c r="B47" s="7">
        <v>44770</v>
      </c>
      <c r="C47" s="8">
        <v>7</v>
      </c>
      <c r="D47" s="8">
        <v>8</v>
      </c>
      <c r="E47" s="203">
        <f t="shared" si="0"/>
        <v>6.833333333333333</v>
      </c>
      <c r="F47" s="8"/>
      <c r="H47" s="6"/>
    </row>
    <row r="48" spans="2:8" x14ac:dyDescent="0.25">
      <c r="B48" s="7">
        <v>44801</v>
      </c>
      <c r="C48" s="8">
        <v>7</v>
      </c>
      <c r="D48" s="8">
        <v>5</v>
      </c>
      <c r="E48" s="203">
        <f t="shared" si="0"/>
        <v>6.666666666666667</v>
      </c>
      <c r="F48" s="8"/>
      <c r="H48" s="6"/>
    </row>
    <row r="49" spans="2:8" x14ac:dyDescent="0.25">
      <c r="B49" s="7">
        <v>44832</v>
      </c>
      <c r="C49" s="8">
        <v>7</v>
      </c>
      <c r="D49" s="8">
        <v>8</v>
      </c>
      <c r="E49" s="203">
        <f t="shared" si="0"/>
        <v>6.833333333333333</v>
      </c>
      <c r="F49" s="8"/>
      <c r="H49" s="6"/>
    </row>
    <row r="50" spans="2:8" x14ac:dyDescent="0.25">
      <c r="B50" s="7">
        <v>44863</v>
      </c>
      <c r="C50" s="8">
        <v>7</v>
      </c>
      <c r="D50" s="8">
        <v>13</v>
      </c>
      <c r="E50" s="203">
        <f t="shared" si="0"/>
        <v>7.583333333333333</v>
      </c>
      <c r="F50" s="8"/>
      <c r="H50" s="6"/>
    </row>
    <row r="51" spans="2:8" x14ac:dyDescent="0.25">
      <c r="B51" s="7">
        <v>44894</v>
      </c>
      <c r="C51" s="8">
        <v>7</v>
      </c>
      <c r="D51" s="8">
        <v>6</v>
      </c>
      <c r="E51" s="203">
        <f t="shared" si="0"/>
        <v>7.166666666666667</v>
      </c>
      <c r="F51" s="8"/>
      <c r="H51" s="6"/>
    </row>
    <row r="52" spans="2:8" x14ac:dyDescent="0.25">
      <c r="B52" s="7">
        <v>44925</v>
      </c>
      <c r="C52" s="8">
        <v>7</v>
      </c>
      <c r="D52" s="8">
        <v>8</v>
      </c>
      <c r="E52" s="203">
        <f t="shared" si="0"/>
        <v>7.333333333333333</v>
      </c>
      <c r="F52" s="8"/>
      <c r="H52" s="6"/>
    </row>
    <row r="53" spans="2:8" x14ac:dyDescent="0.25">
      <c r="B53" s="7">
        <v>44956</v>
      </c>
      <c r="C53" s="8">
        <v>7</v>
      </c>
      <c r="D53" s="8">
        <v>11</v>
      </c>
      <c r="E53" s="203">
        <f>AVERAGE(D41:D53)</f>
        <v>7.615384615384615</v>
      </c>
      <c r="F53" s="8"/>
      <c r="G53" s="202"/>
      <c r="H53" s="6"/>
    </row>
    <row r="54" spans="2:8" x14ac:dyDescent="0.25">
      <c r="B54" s="7">
        <v>44977</v>
      </c>
      <c r="C54" s="8">
        <v>7</v>
      </c>
      <c r="D54" s="8">
        <v>9</v>
      </c>
      <c r="E54" s="203">
        <f>AVERAGE(D43:D54)</f>
        <v>8</v>
      </c>
      <c r="F54" s="8"/>
      <c r="G54" s="202"/>
      <c r="H54" s="6"/>
    </row>
    <row r="55" spans="2:8" x14ac:dyDescent="0.25">
      <c r="B55" s="7">
        <v>45005</v>
      </c>
      <c r="C55" s="8">
        <v>7</v>
      </c>
      <c r="D55" s="8">
        <v>14</v>
      </c>
      <c r="E55" s="203">
        <f>AVERAGE(D43:D55)</f>
        <v>8.4615384615384617</v>
      </c>
      <c r="F55" s="8"/>
      <c r="G55" s="202"/>
      <c r="H55" s="6"/>
    </row>
    <row r="56" spans="2:8" x14ac:dyDescent="0.25">
      <c r="B56" s="7">
        <v>45036</v>
      </c>
      <c r="C56" s="8">
        <v>7</v>
      </c>
      <c r="D56" s="8">
        <v>12</v>
      </c>
      <c r="E56" s="203">
        <f>AVERAGE(D45:D56)</f>
        <v>9.1666666666666661</v>
      </c>
      <c r="F56" s="8"/>
      <c r="G56" s="202"/>
      <c r="H56" s="6"/>
    </row>
    <row r="63" spans="2:8" x14ac:dyDescent="0.25">
      <c r="B63" s="183" t="s">
        <v>228</v>
      </c>
    </row>
    <row r="64" spans="2:8" x14ac:dyDescent="0.25">
      <c r="B64" s="183"/>
      <c r="C64" s="5" t="s">
        <v>10</v>
      </c>
      <c r="D64" s="5" t="s">
        <v>299</v>
      </c>
      <c r="E64" s="62" t="s">
        <v>80</v>
      </c>
      <c r="F64" s="62" t="s">
        <v>81</v>
      </c>
    </row>
    <row r="65" spans="2:8" x14ac:dyDescent="0.25">
      <c r="B65" s="181" t="s">
        <v>122</v>
      </c>
      <c r="C65" s="185">
        <v>7</v>
      </c>
      <c r="D65" s="186">
        <f>SUM(D66:D82)</f>
        <v>12</v>
      </c>
      <c r="E65" s="8">
        <f t="shared" ref="E65" si="1">IF(D65&gt;C65,C65,D65)</f>
        <v>7</v>
      </c>
      <c r="F65" s="8">
        <f t="shared" ref="F65" si="2">IF(D65&gt;E65,D65-E65,"")</f>
        <v>5</v>
      </c>
      <c r="H65" s="181"/>
    </row>
    <row r="66" spans="2:8" x14ac:dyDescent="0.25">
      <c r="B66" s="181" t="s">
        <v>243</v>
      </c>
      <c r="C66" s="185">
        <v>7</v>
      </c>
      <c r="D66" s="188">
        <f>COUNTIF(Data!E:G,H66)</f>
        <v>2</v>
      </c>
      <c r="E66" s="8">
        <f t="shared" ref="E66:E82" si="3">IF(D66&gt;C66,C66,D66)</f>
        <v>2</v>
      </c>
      <c r="F66" s="8" t="str">
        <f t="shared" ref="F66:F82" si="4">IF(D66&gt;E66,D66-E66,"")</f>
        <v/>
      </c>
      <c r="H66" s="181" t="s">
        <v>229</v>
      </c>
    </row>
    <row r="67" spans="2:8" x14ac:dyDescent="0.25">
      <c r="B67" s="181" t="s">
        <v>244</v>
      </c>
      <c r="C67" s="185">
        <v>7</v>
      </c>
      <c r="D67" s="188">
        <f>COUNTIF(Data!E:G,H67)</f>
        <v>0</v>
      </c>
      <c r="E67" s="8">
        <f t="shared" si="3"/>
        <v>0</v>
      </c>
      <c r="F67" s="8" t="str">
        <f t="shared" si="4"/>
        <v/>
      </c>
      <c r="H67" s="181" t="s">
        <v>230</v>
      </c>
    </row>
    <row r="68" spans="2:8" x14ac:dyDescent="0.25">
      <c r="B68" s="181" t="s">
        <v>245</v>
      </c>
      <c r="C68" s="185">
        <v>7</v>
      </c>
      <c r="D68" s="188">
        <f>COUNTIF(Data!E:G,H68)</f>
        <v>0</v>
      </c>
      <c r="E68" s="8">
        <f t="shared" si="3"/>
        <v>0</v>
      </c>
      <c r="F68" s="8" t="str">
        <f t="shared" si="4"/>
        <v/>
      </c>
      <c r="H68" s="181" t="s">
        <v>231</v>
      </c>
    </row>
    <row r="69" spans="2:8" x14ac:dyDescent="0.25">
      <c r="B69" s="187" t="s">
        <v>246</v>
      </c>
      <c r="C69" s="185">
        <v>7</v>
      </c>
      <c r="D69" s="188">
        <f>COUNTIF(Data!E:G,H69)</f>
        <v>0</v>
      </c>
      <c r="E69" s="8">
        <f t="shared" si="3"/>
        <v>0</v>
      </c>
      <c r="F69" s="8" t="str">
        <f t="shared" si="4"/>
        <v/>
      </c>
      <c r="H69" s="187" t="s">
        <v>232</v>
      </c>
    </row>
    <row r="70" spans="2:8" x14ac:dyDescent="0.25">
      <c r="B70" s="187" t="s">
        <v>247</v>
      </c>
      <c r="C70" s="185">
        <v>7</v>
      </c>
      <c r="D70" s="188">
        <f>COUNTIF(Data!E:G,H70)</f>
        <v>0</v>
      </c>
      <c r="E70" s="8">
        <f t="shared" si="3"/>
        <v>0</v>
      </c>
      <c r="F70" s="8" t="str">
        <f t="shared" si="4"/>
        <v/>
      </c>
      <c r="H70" s="187" t="s">
        <v>233</v>
      </c>
    </row>
    <row r="71" spans="2:8" x14ac:dyDescent="0.25">
      <c r="B71" s="181" t="s">
        <v>248</v>
      </c>
      <c r="C71" s="185">
        <v>7</v>
      </c>
      <c r="D71" s="188">
        <f>COUNTIF(Data!E:G,H71)</f>
        <v>0</v>
      </c>
      <c r="E71" s="8">
        <f t="shared" si="3"/>
        <v>0</v>
      </c>
      <c r="F71" s="8" t="str">
        <f t="shared" si="4"/>
        <v/>
      </c>
      <c r="H71" s="181" t="s">
        <v>234</v>
      </c>
    </row>
    <row r="72" spans="2:8" x14ac:dyDescent="0.25">
      <c r="B72" s="181" t="s">
        <v>249</v>
      </c>
      <c r="C72" s="185">
        <v>7</v>
      </c>
      <c r="D72" s="188">
        <f>COUNTIF(Data!E:G,H72)</f>
        <v>0</v>
      </c>
      <c r="E72" s="8">
        <f t="shared" si="3"/>
        <v>0</v>
      </c>
      <c r="F72" s="8" t="str">
        <f t="shared" si="4"/>
        <v/>
      </c>
      <c r="H72" s="181" t="s">
        <v>235</v>
      </c>
    </row>
    <row r="73" spans="2:8" x14ac:dyDescent="0.25">
      <c r="B73" s="181" t="s">
        <v>236</v>
      </c>
      <c r="C73" s="185">
        <v>7</v>
      </c>
      <c r="D73" s="188">
        <f>COUNTIF(Data!E:G,H73)</f>
        <v>0</v>
      </c>
      <c r="E73" s="8">
        <f t="shared" si="3"/>
        <v>0</v>
      </c>
      <c r="F73" s="8" t="str">
        <f t="shared" si="4"/>
        <v/>
      </c>
      <c r="H73" s="181" t="s">
        <v>236</v>
      </c>
    </row>
    <row r="74" spans="2:8" x14ac:dyDescent="0.25">
      <c r="B74" s="181" t="s">
        <v>237</v>
      </c>
      <c r="C74" s="185">
        <v>7</v>
      </c>
      <c r="D74" s="188">
        <f>COUNTIF(Data!E:G,H74)</f>
        <v>1</v>
      </c>
      <c r="E74" s="8">
        <f t="shared" si="3"/>
        <v>1</v>
      </c>
      <c r="F74" s="8" t="str">
        <f t="shared" si="4"/>
        <v/>
      </c>
      <c r="H74" s="181" t="s">
        <v>237</v>
      </c>
    </row>
    <row r="75" spans="2:8" x14ac:dyDescent="0.25">
      <c r="B75" s="181" t="s">
        <v>238</v>
      </c>
      <c r="C75" s="185">
        <v>7</v>
      </c>
      <c r="D75" s="188">
        <f>COUNTIF(Data!E:G,H75)</f>
        <v>0</v>
      </c>
      <c r="E75" s="8">
        <f t="shared" si="3"/>
        <v>0</v>
      </c>
      <c r="F75" s="8" t="str">
        <f t="shared" si="4"/>
        <v/>
      </c>
      <c r="H75" s="181" t="s">
        <v>238</v>
      </c>
    </row>
    <row r="76" spans="2:8" x14ac:dyDescent="0.25">
      <c r="B76" s="181" t="s">
        <v>239</v>
      </c>
      <c r="C76" s="185">
        <v>7</v>
      </c>
      <c r="D76" s="188">
        <f>COUNTIF(Data!E:G,H76)</f>
        <v>0</v>
      </c>
      <c r="E76" s="8">
        <f t="shared" si="3"/>
        <v>0</v>
      </c>
      <c r="F76" s="8" t="str">
        <f t="shared" si="4"/>
        <v/>
      </c>
      <c r="H76" s="181" t="s">
        <v>239</v>
      </c>
    </row>
    <row r="77" spans="2:8" x14ac:dyDescent="0.25">
      <c r="B77" s="181" t="s">
        <v>217</v>
      </c>
      <c r="C77" s="185">
        <v>7</v>
      </c>
      <c r="D77" s="188">
        <f>COUNTIF(Data!E:G,H77)</f>
        <v>8</v>
      </c>
      <c r="E77" s="8">
        <f t="shared" si="3"/>
        <v>7</v>
      </c>
      <c r="F77" s="8">
        <f t="shared" si="4"/>
        <v>1</v>
      </c>
      <c r="H77" s="181" t="s">
        <v>217</v>
      </c>
    </row>
    <row r="78" spans="2:8" x14ac:dyDescent="0.25">
      <c r="B78" s="181" t="s">
        <v>104</v>
      </c>
      <c r="C78" s="185">
        <v>7</v>
      </c>
      <c r="D78" s="188">
        <f>COUNTIF(Data!E:G,H78)</f>
        <v>1</v>
      </c>
      <c r="E78" s="8">
        <f t="shared" si="3"/>
        <v>1</v>
      </c>
      <c r="F78" s="8" t="str">
        <f t="shared" si="4"/>
        <v/>
      </c>
      <c r="H78" s="181" t="s">
        <v>104</v>
      </c>
    </row>
    <row r="79" spans="2:8" x14ac:dyDescent="0.25">
      <c r="B79" s="181" t="s">
        <v>171</v>
      </c>
      <c r="C79" s="185">
        <v>7</v>
      </c>
      <c r="D79" s="188">
        <f>COUNTIF(Data!E:G,H79)</f>
        <v>0</v>
      </c>
      <c r="E79" s="8">
        <f t="shared" si="3"/>
        <v>0</v>
      </c>
      <c r="F79" s="8" t="str">
        <f t="shared" si="4"/>
        <v/>
      </c>
      <c r="H79" s="181" t="s">
        <v>171</v>
      </c>
    </row>
    <row r="80" spans="2:8" x14ac:dyDescent="0.25">
      <c r="B80" s="181" t="s">
        <v>240</v>
      </c>
      <c r="C80" s="185">
        <v>7</v>
      </c>
      <c r="D80" s="188">
        <f>COUNTIF(Data!E:G,H80)</f>
        <v>0</v>
      </c>
      <c r="E80" s="8">
        <f t="shared" si="3"/>
        <v>0</v>
      </c>
      <c r="F80" s="8" t="str">
        <f t="shared" si="4"/>
        <v/>
      </c>
      <c r="H80" s="181" t="s">
        <v>240</v>
      </c>
    </row>
    <row r="81" spans="2:8" x14ac:dyDescent="0.25">
      <c r="B81" s="181" t="s">
        <v>241</v>
      </c>
      <c r="C81" s="185">
        <v>7</v>
      </c>
      <c r="D81" s="188">
        <f>COUNTIF(Data!E:G,H81)</f>
        <v>0</v>
      </c>
      <c r="E81" s="8">
        <f t="shared" si="3"/>
        <v>0</v>
      </c>
      <c r="F81" s="8" t="str">
        <f t="shared" si="4"/>
        <v/>
      </c>
      <c r="H81" s="181" t="s">
        <v>241</v>
      </c>
    </row>
    <row r="82" spans="2:8" x14ac:dyDescent="0.25">
      <c r="B82" s="182" t="s">
        <v>242</v>
      </c>
      <c r="C82" s="185">
        <v>7</v>
      </c>
      <c r="D82" s="188">
        <f>COUNTIF(Data!E:G,"WCS/ not incl. in Service Catalog 2.0")</f>
        <v>0</v>
      </c>
      <c r="E82" s="8">
        <f t="shared" si="3"/>
        <v>0</v>
      </c>
      <c r="F82" s="8" t="str">
        <f t="shared" si="4"/>
        <v/>
      </c>
      <c r="H82" s="182" t="s">
        <v>242</v>
      </c>
    </row>
  </sheetData>
  <mergeCells count="1">
    <mergeCell ref="A2:D2"/>
  </mergeCells>
  <pageMargins left="0.7" right="0.7" top="0.75" bottom="0.75" header="0.3" footer="0.3"/>
  <pageSetup orientation="portrait" r:id="rId1"/>
  <headerFooter>
    <oddFooter>&amp;L&amp;1#&amp;"Arial"&amp;10&amp;K000000[Internal]</oddFooter>
  </headerFooter>
  <customProperties>
    <customPr name="Ibp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D049-6732-48F2-9DF7-D126FAEF63A3}">
  <dimension ref="A1:AC13"/>
  <sheetViews>
    <sheetView zoomScale="80" zoomScaleNormal="80" workbookViewId="0">
      <selection activeCell="G25" sqref="G25"/>
    </sheetView>
  </sheetViews>
  <sheetFormatPr defaultColWidth="9.140625" defaultRowHeight="15" x14ac:dyDescent="0.25"/>
  <cols>
    <col min="1" max="1" width="12" style="175" bestFit="1" customWidth="1"/>
    <col min="2" max="3" width="10" style="219" customWidth="1"/>
    <col min="4" max="4" width="32.7109375" style="175" bestFit="1" customWidth="1"/>
    <col min="5" max="5" width="36.5703125" style="175" customWidth="1"/>
    <col min="6" max="6" width="33.85546875" style="175" bestFit="1" customWidth="1"/>
    <col min="7" max="7" width="30.5703125" style="175" bestFit="1" customWidth="1"/>
    <col min="8" max="8" width="18" style="175" customWidth="1"/>
    <col min="9" max="9" width="10" style="175" customWidth="1"/>
    <col min="10" max="10" width="11" style="175" customWidth="1"/>
    <col min="11" max="11" width="17" style="175" customWidth="1"/>
    <col min="12" max="12" width="19.5703125" style="219" bestFit="1" customWidth="1"/>
    <col min="13" max="13" width="15" style="175" customWidth="1"/>
    <col min="14" max="14" width="16" style="175" customWidth="1"/>
    <col min="15" max="15" width="17" style="175" customWidth="1"/>
    <col min="16" max="16" width="16" style="175" customWidth="1"/>
    <col min="17" max="17" width="19.5703125" style="219" bestFit="1" customWidth="1"/>
    <col min="18" max="18" width="12" style="219" customWidth="1"/>
    <col min="19" max="19" width="10" style="175" customWidth="1"/>
    <col min="20" max="20" width="11" style="175" customWidth="1"/>
    <col min="21" max="21" width="10" style="219" customWidth="1"/>
    <col min="22" max="22" width="22" style="175" customWidth="1"/>
    <col min="23" max="23" width="17" style="219" customWidth="1"/>
    <col min="24" max="26" width="10" style="175" customWidth="1"/>
    <col min="27" max="27" width="17" style="175" customWidth="1"/>
    <col min="28" max="29" width="15" style="175" customWidth="1"/>
    <col min="30" max="16384" width="9.140625" style="219"/>
  </cols>
  <sheetData>
    <row r="1" spans="1:29" x14ac:dyDescent="0.25">
      <c r="A1" s="216" t="s">
        <v>83</v>
      </c>
      <c r="B1" s="216" t="s">
        <v>84</v>
      </c>
      <c r="C1" s="216" t="s">
        <v>85</v>
      </c>
      <c r="D1" s="216" t="s">
        <v>86</v>
      </c>
      <c r="E1" s="216" t="s">
        <v>87</v>
      </c>
      <c r="F1" s="216" t="s">
        <v>87</v>
      </c>
      <c r="G1" s="216" t="s">
        <v>88</v>
      </c>
      <c r="H1" s="216" t="s">
        <v>190</v>
      </c>
      <c r="I1" s="216" t="s">
        <v>90</v>
      </c>
      <c r="J1" s="216" t="s">
        <v>92</v>
      </c>
      <c r="K1" s="216" t="s">
        <v>93</v>
      </c>
      <c r="L1" s="216" t="s">
        <v>94</v>
      </c>
      <c r="M1" s="216" t="s">
        <v>95</v>
      </c>
      <c r="N1" s="216" t="s">
        <v>96</v>
      </c>
      <c r="O1" s="216" t="s">
        <v>98</v>
      </c>
      <c r="P1" s="216" t="s">
        <v>97</v>
      </c>
      <c r="Q1" s="216" t="s">
        <v>99</v>
      </c>
      <c r="R1" s="216" t="s">
        <v>191</v>
      </c>
      <c r="S1" s="216" t="s">
        <v>91</v>
      </c>
      <c r="T1" s="216" t="s">
        <v>192</v>
      </c>
      <c r="U1" s="216" t="s">
        <v>100</v>
      </c>
      <c r="V1" s="216" t="s">
        <v>89</v>
      </c>
      <c r="W1" s="216" t="s">
        <v>193</v>
      </c>
      <c r="X1" s="216" t="s">
        <v>194</v>
      </c>
      <c r="Y1" s="216" t="s">
        <v>195</v>
      </c>
      <c r="Z1" s="216" t="s">
        <v>212</v>
      </c>
      <c r="AA1" s="216" t="s">
        <v>196</v>
      </c>
      <c r="AB1" s="216" t="s">
        <v>213</v>
      </c>
      <c r="AC1" s="216" t="s">
        <v>250</v>
      </c>
    </row>
    <row r="2" spans="1:29" x14ac:dyDescent="0.25">
      <c r="A2" s="175" t="s">
        <v>341</v>
      </c>
      <c r="B2" s="175" t="s">
        <v>99</v>
      </c>
      <c r="C2" s="175" t="s">
        <v>101</v>
      </c>
      <c r="D2" s="175" t="s">
        <v>311</v>
      </c>
      <c r="E2" s="175" t="s">
        <v>217</v>
      </c>
      <c r="F2" s="175" t="s">
        <v>169</v>
      </c>
      <c r="G2" s="175" t="s">
        <v>312</v>
      </c>
      <c r="H2" s="175" t="s">
        <v>261</v>
      </c>
      <c r="I2" s="175" t="s">
        <v>342</v>
      </c>
      <c r="J2" s="175" t="s">
        <v>343</v>
      </c>
      <c r="K2" s="175" t="s">
        <v>344</v>
      </c>
      <c r="L2" s="220">
        <v>45019.347766203704</v>
      </c>
      <c r="M2" s="175" t="s">
        <v>106</v>
      </c>
      <c r="N2" s="175" t="s">
        <v>345</v>
      </c>
      <c r="O2" s="175" t="s">
        <v>346</v>
      </c>
      <c r="P2" s="175" t="s">
        <v>347</v>
      </c>
      <c r="Q2" s="220">
        <v>45019.465891203705</v>
      </c>
      <c r="R2" s="176">
        <v>0</v>
      </c>
      <c r="S2" s="175" t="s">
        <v>348</v>
      </c>
      <c r="T2" s="175" t="s">
        <v>333</v>
      </c>
      <c r="U2" s="176">
        <v>10206</v>
      </c>
      <c r="V2" s="175" t="s">
        <v>105</v>
      </c>
      <c r="W2" s="176">
        <v>10206</v>
      </c>
      <c r="X2" s="175" t="s">
        <v>349</v>
      </c>
      <c r="Y2" s="175" t="s">
        <v>197</v>
      </c>
      <c r="Z2" s="175" t="s">
        <v>214</v>
      </c>
      <c r="AA2" s="175" t="s">
        <v>198</v>
      </c>
      <c r="AB2" s="175" t="s">
        <v>261</v>
      </c>
      <c r="AC2" s="175" t="s">
        <v>261</v>
      </c>
    </row>
    <row r="3" spans="1:29" x14ac:dyDescent="0.25">
      <c r="A3" s="175" t="s">
        <v>350</v>
      </c>
      <c r="B3" s="175" t="s">
        <v>99</v>
      </c>
      <c r="C3" s="175" t="s">
        <v>101</v>
      </c>
      <c r="D3" s="175" t="s">
        <v>311</v>
      </c>
      <c r="E3" s="175" t="s">
        <v>217</v>
      </c>
      <c r="F3" s="175" t="s">
        <v>169</v>
      </c>
      <c r="G3" s="175" t="s">
        <v>312</v>
      </c>
      <c r="H3" s="175" t="s">
        <v>261</v>
      </c>
      <c r="I3" s="175" t="s">
        <v>330</v>
      </c>
      <c r="J3" s="175" t="s">
        <v>351</v>
      </c>
      <c r="K3" s="175" t="s">
        <v>352</v>
      </c>
      <c r="L3" s="220">
        <v>45022.724236111113</v>
      </c>
      <c r="M3" s="175" t="s">
        <v>106</v>
      </c>
      <c r="N3" s="175" t="s">
        <v>353</v>
      </c>
      <c r="O3" s="175" t="s">
        <v>107</v>
      </c>
      <c r="P3" s="175" t="s">
        <v>354</v>
      </c>
      <c r="Q3" s="220">
        <v>45022.790879629632</v>
      </c>
      <c r="R3" s="176">
        <v>0</v>
      </c>
      <c r="S3" s="175" t="s">
        <v>331</v>
      </c>
      <c r="T3" s="175" t="s">
        <v>170</v>
      </c>
      <c r="U3" s="176">
        <v>5758</v>
      </c>
      <c r="V3" s="175" t="s">
        <v>105</v>
      </c>
      <c r="W3" s="176">
        <v>5758</v>
      </c>
      <c r="X3" s="175" t="s">
        <v>261</v>
      </c>
      <c r="Y3" s="175" t="s">
        <v>197</v>
      </c>
      <c r="Z3" s="175" t="s">
        <v>214</v>
      </c>
      <c r="AA3" s="175" t="s">
        <v>332</v>
      </c>
      <c r="AB3" s="175" t="s">
        <v>261</v>
      </c>
      <c r="AC3" s="175" t="s">
        <v>261</v>
      </c>
    </row>
    <row r="4" spans="1:29" x14ac:dyDescent="0.25">
      <c r="A4" s="175" t="s">
        <v>355</v>
      </c>
      <c r="B4" s="175" t="s">
        <v>99</v>
      </c>
      <c r="C4" s="175" t="s">
        <v>101</v>
      </c>
      <c r="D4" s="175" t="s">
        <v>324</v>
      </c>
      <c r="E4" s="175" t="s">
        <v>104</v>
      </c>
      <c r="F4" s="175" t="s">
        <v>169</v>
      </c>
      <c r="G4" s="175" t="s">
        <v>168</v>
      </c>
      <c r="H4" s="175" t="s">
        <v>261</v>
      </c>
      <c r="I4" s="175" t="s">
        <v>356</v>
      </c>
      <c r="J4" s="175" t="s">
        <v>261</v>
      </c>
      <c r="K4" s="175" t="s">
        <v>357</v>
      </c>
      <c r="L4" s="220">
        <v>45024.653726851851</v>
      </c>
      <c r="M4" s="175" t="s">
        <v>103</v>
      </c>
      <c r="N4" s="175" t="s">
        <v>358</v>
      </c>
      <c r="O4" s="175" t="s">
        <v>284</v>
      </c>
      <c r="P4" s="175" t="s">
        <v>168</v>
      </c>
      <c r="Q4" s="220">
        <v>45026.480844907404</v>
      </c>
      <c r="R4" s="176">
        <v>0</v>
      </c>
      <c r="S4" s="175" t="s">
        <v>359</v>
      </c>
      <c r="T4" s="175" t="s">
        <v>170</v>
      </c>
      <c r="U4" s="176">
        <v>157863</v>
      </c>
      <c r="V4" s="175" t="s">
        <v>105</v>
      </c>
      <c r="W4" s="176">
        <v>157863</v>
      </c>
      <c r="X4" s="175" t="s">
        <v>261</v>
      </c>
      <c r="Y4" s="175" t="s">
        <v>197</v>
      </c>
      <c r="Z4" s="175" t="s">
        <v>214</v>
      </c>
      <c r="AA4" s="175" t="s">
        <v>332</v>
      </c>
      <c r="AB4" s="175" t="s">
        <v>261</v>
      </c>
      <c r="AC4" s="175" t="s">
        <v>261</v>
      </c>
    </row>
    <row r="5" spans="1:29" x14ac:dyDescent="0.25">
      <c r="A5" s="175" t="s">
        <v>360</v>
      </c>
      <c r="B5" s="175" t="s">
        <v>361</v>
      </c>
      <c r="C5" s="175" t="s">
        <v>101</v>
      </c>
      <c r="D5" s="175" t="s">
        <v>362</v>
      </c>
      <c r="E5" s="175" t="s">
        <v>363</v>
      </c>
      <c r="F5" s="175" t="s">
        <v>229</v>
      </c>
      <c r="G5" s="175" t="s">
        <v>364</v>
      </c>
      <c r="H5" s="175" t="s">
        <v>261</v>
      </c>
      <c r="I5" s="175" t="s">
        <v>365</v>
      </c>
      <c r="J5" s="175" t="s">
        <v>366</v>
      </c>
      <c r="K5" s="175" t="s">
        <v>367</v>
      </c>
      <c r="L5" s="220">
        <v>45027.070231481484</v>
      </c>
      <c r="M5" s="175" t="s">
        <v>106</v>
      </c>
      <c r="N5" s="175" t="s">
        <v>368</v>
      </c>
      <c r="O5" s="175" t="s">
        <v>369</v>
      </c>
      <c r="P5" s="175" t="s">
        <v>370</v>
      </c>
      <c r="Q5" s="220">
        <v>45027.882222222222</v>
      </c>
      <c r="R5" s="176">
        <v>0</v>
      </c>
      <c r="S5" s="175" t="s">
        <v>371</v>
      </c>
      <c r="T5" s="175" t="s">
        <v>170</v>
      </c>
      <c r="U5" s="176">
        <v>70156</v>
      </c>
      <c r="V5" s="175" t="s">
        <v>102</v>
      </c>
      <c r="W5" s="176">
        <v>70156</v>
      </c>
      <c r="X5" s="175" t="s">
        <v>261</v>
      </c>
      <c r="Y5" s="175" t="s">
        <v>197</v>
      </c>
      <c r="Z5" s="175" t="s">
        <v>214</v>
      </c>
      <c r="AA5" s="175" t="s">
        <v>198</v>
      </c>
      <c r="AB5" s="175" t="s">
        <v>261</v>
      </c>
      <c r="AC5" s="175" t="s">
        <v>261</v>
      </c>
    </row>
    <row r="6" spans="1:29" x14ac:dyDescent="0.25">
      <c r="A6" s="175" t="s">
        <v>372</v>
      </c>
      <c r="B6" s="175" t="s">
        <v>99</v>
      </c>
      <c r="C6" s="175" t="s">
        <v>101</v>
      </c>
      <c r="D6" s="175" t="s">
        <v>373</v>
      </c>
      <c r="E6" s="175" t="s">
        <v>374</v>
      </c>
      <c r="F6" s="175" t="s">
        <v>217</v>
      </c>
      <c r="G6" s="175" t="s">
        <v>167</v>
      </c>
      <c r="H6" s="175" t="s">
        <v>261</v>
      </c>
      <c r="I6" s="175" t="s">
        <v>375</v>
      </c>
      <c r="J6" s="175" t="s">
        <v>376</v>
      </c>
      <c r="K6" s="175" t="s">
        <v>377</v>
      </c>
      <c r="L6" s="220">
        <v>45028.436284722222</v>
      </c>
      <c r="M6" s="175" t="s">
        <v>103</v>
      </c>
      <c r="N6" s="175" t="s">
        <v>378</v>
      </c>
      <c r="O6" s="175" t="s">
        <v>379</v>
      </c>
      <c r="P6" s="175" t="s">
        <v>380</v>
      </c>
      <c r="Q6" s="220">
        <v>45028.577766203707</v>
      </c>
      <c r="R6" s="176">
        <v>0</v>
      </c>
      <c r="S6" s="175" t="s">
        <v>381</v>
      </c>
      <c r="T6" s="175" t="s">
        <v>170</v>
      </c>
      <c r="U6" s="176">
        <v>12224</v>
      </c>
      <c r="V6" s="175" t="s">
        <v>102</v>
      </c>
      <c r="W6" s="176">
        <v>12224</v>
      </c>
      <c r="X6" s="175" t="s">
        <v>334</v>
      </c>
      <c r="Y6" s="175" t="s">
        <v>197</v>
      </c>
      <c r="Z6" s="175" t="s">
        <v>215</v>
      </c>
      <c r="AA6" s="175" t="s">
        <v>198</v>
      </c>
      <c r="AB6" s="175" t="s">
        <v>261</v>
      </c>
      <c r="AC6" s="175" t="s">
        <v>261</v>
      </c>
    </row>
    <row r="7" spans="1:29" x14ac:dyDescent="0.25">
      <c r="A7" s="175" t="s">
        <v>382</v>
      </c>
      <c r="B7" s="175" t="s">
        <v>99</v>
      </c>
      <c r="C7" s="175" t="s">
        <v>101</v>
      </c>
      <c r="D7" s="175" t="s">
        <v>311</v>
      </c>
      <c r="E7" s="175" t="s">
        <v>217</v>
      </c>
      <c r="F7" s="175" t="s">
        <v>169</v>
      </c>
      <c r="G7" s="175" t="s">
        <v>312</v>
      </c>
      <c r="H7" s="175" t="s">
        <v>261</v>
      </c>
      <c r="I7" s="175" t="s">
        <v>365</v>
      </c>
      <c r="J7" s="175" t="s">
        <v>383</v>
      </c>
      <c r="K7" s="175" t="s">
        <v>384</v>
      </c>
      <c r="L7" s="220">
        <v>45028.864074074074</v>
      </c>
      <c r="M7" s="175" t="s">
        <v>106</v>
      </c>
      <c r="N7" s="175" t="s">
        <v>385</v>
      </c>
      <c r="O7" s="175" t="s">
        <v>346</v>
      </c>
      <c r="P7" s="175" t="s">
        <v>167</v>
      </c>
      <c r="Q7" s="220">
        <v>45028.895613425928</v>
      </c>
      <c r="R7" s="176">
        <v>0</v>
      </c>
      <c r="S7" s="175" t="s">
        <v>386</v>
      </c>
      <c r="T7" s="175" t="s">
        <v>170</v>
      </c>
      <c r="U7" s="176">
        <v>2725</v>
      </c>
      <c r="V7" s="175" t="s">
        <v>105</v>
      </c>
      <c r="W7" s="176">
        <v>2725</v>
      </c>
      <c r="X7" s="175" t="s">
        <v>261</v>
      </c>
      <c r="Y7" s="175" t="s">
        <v>197</v>
      </c>
      <c r="Z7" s="175" t="s">
        <v>214</v>
      </c>
      <c r="AA7" s="175" t="s">
        <v>198</v>
      </c>
      <c r="AB7" s="175" t="s">
        <v>261</v>
      </c>
      <c r="AC7" s="175" t="s">
        <v>261</v>
      </c>
    </row>
    <row r="8" spans="1:29" x14ac:dyDescent="0.25">
      <c r="A8" s="175" t="s">
        <v>387</v>
      </c>
      <c r="B8" s="175" t="s">
        <v>361</v>
      </c>
      <c r="C8" s="175" t="s">
        <v>101</v>
      </c>
      <c r="D8" s="175" t="s">
        <v>326</v>
      </c>
      <c r="E8" s="175" t="s">
        <v>237</v>
      </c>
      <c r="F8" s="175" t="s">
        <v>327</v>
      </c>
      <c r="G8" s="175" t="s">
        <v>328</v>
      </c>
      <c r="H8" s="175" t="s">
        <v>261</v>
      </c>
      <c r="I8" s="175" t="s">
        <v>388</v>
      </c>
      <c r="J8" s="175" t="s">
        <v>389</v>
      </c>
      <c r="K8" s="175" t="s">
        <v>390</v>
      </c>
      <c r="L8" s="220">
        <v>45029.902511574073</v>
      </c>
      <c r="M8" s="175" t="s">
        <v>103</v>
      </c>
      <c r="N8" s="175" t="s">
        <v>391</v>
      </c>
      <c r="O8" s="175" t="s">
        <v>329</v>
      </c>
      <c r="P8" s="175" t="s">
        <v>392</v>
      </c>
      <c r="Q8" s="220">
        <v>45030.141770833332</v>
      </c>
      <c r="R8" s="176">
        <v>0</v>
      </c>
      <c r="S8" s="175" t="s">
        <v>393</v>
      </c>
      <c r="T8" s="175" t="s">
        <v>170</v>
      </c>
      <c r="U8" s="176">
        <v>20672</v>
      </c>
      <c r="V8" s="175" t="s">
        <v>105</v>
      </c>
      <c r="W8" s="176">
        <v>0</v>
      </c>
      <c r="X8" s="175" t="s">
        <v>261</v>
      </c>
      <c r="Y8" s="175" t="s">
        <v>197</v>
      </c>
      <c r="Z8" s="175" t="s">
        <v>215</v>
      </c>
      <c r="AA8" s="175" t="s">
        <v>198</v>
      </c>
      <c r="AB8" s="175" t="s">
        <v>261</v>
      </c>
      <c r="AC8" s="175" t="s">
        <v>261</v>
      </c>
    </row>
    <row r="9" spans="1:29" x14ac:dyDescent="0.25">
      <c r="A9" s="175" t="s">
        <v>394</v>
      </c>
      <c r="B9" s="175" t="s">
        <v>99</v>
      </c>
      <c r="C9" s="175" t="s">
        <v>101</v>
      </c>
      <c r="D9" s="175" t="s">
        <v>373</v>
      </c>
      <c r="E9" s="175" t="s">
        <v>374</v>
      </c>
      <c r="F9" s="175" t="s">
        <v>217</v>
      </c>
      <c r="G9" s="175" t="s">
        <v>168</v>
      </c>
      <c r="H9" s="175" t="s">
        <v>261</v>
      </c>
      <c r="I9" s="175" t="s">
        <v>395</v>
      </c>
      <c r="J9" s="175" t="s">
        <v>396</v>
      </c>
      <c r="K9" s="175" t="s">
        <v>397</v>
      </c>
      <c r="L9" s="220">
        <v>45034.990451388891</v>
      </c>
      <c r="M9" s="175" t="s">
        <v>103</v>
      </c>
      <c r="N9" s="175" t="s">
        <v>398</v>
      </c>
      <c r="O9" s="175" t="s">
        <v>107</v>
      </c>
      <c r="P9" s="175" t="s">
        <v>354</v>
      </c>
      <c r="Q9" s="220">
        <v>45035.099097222221</v>
      </c>
      <c r="R9" s="176">
        <v>0</v>
      </c>
      <c r="S9" s="175" t="s">
        <v>399</v>
      </c>
      <c r="T9" s="175" t="s">
        <v>170</v>
      </c>
      <c r="U9" s="176">
        <v>9387</v>
      </c>
      <c r="V9" s="175" t="s">
        <v>105</v>
      </c>
      <c r="W9" s="176">
        <v>9387</v>
      </c>
      <c r="X9" s="175" t="s">
        <v>400</v>
      </c>
      <c r="Y9" s="175" t="s">
        <v>197</v>
      </c>
      <c r="Z9" s="175" t="s">
        <v>214</v>
      </c>
      <c r="AA9" s="175" t="s">
        <v>332</v>
      </c>
      <c r="AB9" s="175" t="s">
        <v>261</v>
      </c>
      <c r="AC9" s="175" t="s">
        <v>261</v>
      </c>
    </row>
    <row r="10" spans="1:29" x14ac:dyDescent="0.25">
      <c r="A10" s="175" t="s">
        <v>401</v>
      </c>
      <c r="B10" s="175" t="s">
        <v>361</v>
      </c>
      <c r="C10" s="175" t="s">
        <v>101</v>
      </c>
      <c r="D10" s="175" t="s">
        <v>402</v>
      </c>
      <c r="E10" s="175" t="s">
        <v>323</v>
      </c>
      <c r="F10" s="175" t="s">
        <v>217</v>
      </c>
      <c r="G10" s="175" t="s">
        <v>218</v>
      </c>
      <c r="H10" s="175" t="s">
        <v>261</v>
      </c>
      <c r="I10" s="175" t="s">
        <v>403</v>
      </c>
      <c r="J10" s="175" t="s">
        <v>404</v>
      </c>
      <c r="K10" s="175" t="s">
        <v>405</v>
      </c>
      <c r="L10" s="220">
        <v>45035.576643518521</v>
      </c>
      <c r="M10" s="175" t="s">
        <v>103</v>
      </c>
      <c r="N10" s="175" t="s">
        <v>406</v>
      </c>
      <c r="O10" s="175" t="s">
        <v>407</v>
      </c>
      <c r="P10" s="175" t="s">
        <v>165</v>
      </c>
      <c r="Q10" s="220">
        <v>45035.946770833332</v>
      </c>
      <c r="R10" s="176">
        <v>0</v>
      </c>
      <c r="S10" s="175" t="s">
        <v>408</v>
      </c>
      <c r="T10" s="175" t="s">
        <v>170</v>
      </c>
      <c r="U10" s="176">
        <v>31979</v>
      </c>
      <c r="V10" s="175" t="s">
        <v>102</v>
      </c>
      <c r="W10" s="176">
        <v>11378</v>
      </c>
      <c r="X10" s="175" t="s">
        <v>409</v>
      </c>
      <c r="Y10" s="175" t="s">
        <v>197</v>
      </c>
      <c r="Z10" s="175" t="s">
        <v>215</v>
      </c>
      <c r="AA10" s="175" t="s">
        <v>410</v>
      </c>
      <c r="AB10" s="175" t="s">
        <v>261</v>
      </c>
      <c r="AC10" s="175" t="s">
        <v>261</v>
      </c>
    </row>
    <row r="11" spans="1:29" x14ac:dyDescent="0.25">
      <c r="A11" s="175" t="s">
        <v>411</v>
      </c>
      <c r="B11" s="175" t="s">
        <v>361</v>
      </c>
      <c r="C11" s="175" t="s">
        <v>101</v>
      </c>
      <c r="D11" s="175" t="s">
        <v>412</v>
      </c>
      <c r="E11" s="175" t="s">
        <v>413</v>
      </c>
      <c r="F11" s="175" t="s">
        <v>229</v>
      </c>
      <c r="G11" s="175" t="s">
        <v>414</v>
      </c>
      <c r="H11" s="175" t="s">
        <v>261</v>
      </c>
      <c r="I11" s="175" t="s">
        <v>330</v>
      </c>
      <c r="J11" s="175" t="s">
        <v>415</v>
      </c>
      <c r="K11" s="175" t="s">
        <v>416</v>
      </c>
      <c r="L11" s="220">
        <v>45037.847349537034</v>
      </c>
      <c r="M11" s="175" t="s">
        <v>103</v>
      </c>
      <c r="N11" s="175" t="s">
        <v>417</v>
      </c>
      <c r="O11" s="175" t="s">
        <v>418</v>
      </c>
      <c r="P11" s="175" t="s">
        <v>419</v>
      </c>
      <c r="Q11" s="220">
        <v>45038.019432870373</v>
      </c>
      <c r="R11" s="176">
        <v>0</v>
      </c>
      <c r="S11" s="175" t="s">
        <v>420</v>
      </c>
      <c r="T11" s="175" t="s">
        <v>170</v>
      </c>
      <c r="U11" s="176">
        <v>14868</v>
      </c>
      <c r="V11" s="175" t="s">
        <v>102</v>
      </c>
      <c r="W11" s="176">
        <v>0</v>
      </c>
      <c r="X11" s="175" t="s">
        <v>421</v>
      </c>
      <c r="Y11" s="175" t="s">
        <v>197</v>
      </c>
      <c r="Z11" s="175" t="s">
        <v>215</v>
      </c>
      <c r="AA11" s="175" t="s">
        <v>332</v>
      </c>
      <c r="AB11" s="175" t="s">
        <v>261</v>
      </c>
      <c r="AC11" s="175" t="s">
        <v>261</v>
      </c>
    </row>
    <row r="12" spans="1:29" x14ac:dyDescent="0.25">
      <c r="A12" s="175" t="s">
        <v>422</v>
      </c>
      <c r="B12" s="175" t="s">
        <v>99</v>
      </c>
      <c r="C12" s="175" t="s">
        <v>101</v>
      </c>
      <c r="D12" s="175" t="s">
        <v>313</v>
      </c>
      <c r="E12" s="175" t="s">
        <v>314</v>
      </c>
      <c r="F12" s="175" t="s">
        <v>217</v>
      </c>
      <c r="G12" s="175" t="s">
        <v>218</v>
      </c>
      <c r="H12" s="175" t="s">
        <v>261</v>
      </c>
      <c r="I12" s="175" t="s">
        <v>423</v>
      </c>
      <c r="J12" s="175" t="s">
        <v>424</v>
      </c>
      <c r="K12" s="175" t="s">
        <v>425</v>
      </c>
      <c r="L12" s="220">
        <v>45043.992083333331</v>
      </c>
      <c r="M12" s="175" t="s">
        <v>106</v>
      </c>
      <c r="N12" s="175" t="s">
        <v>426</v>
      </c>
      <c r="O12" s="175" t="s">
        <v>427</v>
      </c>
      <c r="P12" s="175" t="s">
        <v>166</v>
      </c>
      <c r="Q12" s="220">
        <v>45044.295335648145</v>
      </c>
      <c r="R12" s="176">
        <v>0</v>
      </c>
      <c r="S12" s="175" t="s">
        <v>428</v>
      </c>
      <c r="T12" s="175" t="s">
        <v>170</v>
      </c>
      <c r="U12" s="176">
        <v>26201</v>
      </c>
      <c r="V12" s="175" t="s">
        <v>102</v>
      </c>
      <c r="W12" s="176">
        <v>0</v>
      </c>
      <c r="X12" s="175" t="s">
        <v>429</v>
      </c>
      <c r="Y12" s="175" t="s">
        <v>197</v>
      </c>
      <c r="Z12" s="175" t="s">
        <v>215</v>
      </c>
      <c r="AA12" s="175" t="s">
        <v>332</v>
      </c>
      <c r="AB12" s="175" t="s">
        <v>261</v>
      </c>
      <c r="AC12" s="175" t="s">
        <v>261</v>
      </c>
    </row>
    <row r="13" spans="1:29" x14ac:dyDescent="0.25">
      <c r="A13" s="175" t="s">
        <v>430</v>
      </c>
      <c r="B13" s="175" t="s">
        <v>99</v>
      </c>
      <c r="C13" s="175" t="s">
        <v>101</v>
      </c>
      <c r="D13" s="175" t="s">
        <v>313</v>
      </c>
      <c r="E13" s="175" t="s">
        <v>314</v>
      </c>
      <c r="F13" s="175" t="s">
        <v>217</v>
      </c>
      <c r="G13" s="175" t="s">
        <v>218</v>
      </c>
      <c r="H13" s="175" t="s">
        <v>261</v>
      </c>
      <c r="I13" s="175" t="s">
        <v>431</v>
      </c>
      <c r="J13" s="175" t="s">
        <v>432</v>
      </c>
      <c r="K13" s="175" t="s">
        <v>433</v>
      </c>
      <c r="L13" s="220">
        <v>45045.403009259258</v>
      </c>
      <c r="M13" s="175" t="s">
        <v>106</v>
      </c>
      <c r="N13" s="175" t="s">
        <v>434</v>
      </c>
      <c r="O13" s="175" t="s">
        <v>325</v>
      </c>
      <c r="P13" s="175" t="s">
        <v>45</v>
      </c>
      <c r="Q13" s="220">
        <v>45046.012476851851</v>
      </c>
      <c r="R13" s="176">
        <v>0</v>
      </c>
      <c r="S13" s="175" t="s">
        <v>435</v>
      </c>
      <c r="T13" s="175" t="s">
        <v>170</v>
      </c>
      <c r="U13" s="176">
        <v>52658</v>
      </c>
      <c r="V13" s="175" t="s">
        <v>102</v>
      </c>
      <c r="W13" s="176">
        <v>0</v>
      </c>
      <c r="X13" s="175" t="s">
        <v>261</v>
      </c>
      <c r="Y13" s="175" t="s">
        <v>197</v>
      </c>
      <c r="Z13" s="175" t="s">
        <v>215</v>
      </c>
      <c r="AA13" s="175" t="s">
        <v>198</v>
      </c>
      <c r="AB13" s="175" t="s">
        <v>261</v>
      </c>
      <c r="AC13" s="175" t="s">
        <v>261</v>
      </c>
    </row>
  </sheetData>
  <autoFilter ref="A1:AC13" xr:uid="{79B5D049-6732-48F2-9DF7-D126FAEF63A3}"/>
  <pageMargins left="0.7" right="0.7" top="0.75" bottom="0.75" header="0.3" footer="0.3"/>
  <pageSetup orientation="portrait" r:id="rId1"/>
  <headerFooter>
    <oddFooter>&amp;L&amp;1#&amp;"Arial"&amp;10&amp;K000000[Internal]</oddFooter>
  </headerFooter>
  <customProperties>
    <customPr name="Ibp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DEE1D-5084-4641-B9BC-6465DB173D6C}">
  <dimension ref="A1:I34"/>
  <sheetViews>
    <sheetView zoomScale="90" zoomScaleNormal="90" workbookViewId="0">
      <selection activeCell="A11" sqref="A11:XFD11"/>
    </sheetView>
  </sheetViews>
  <sheetFormatPr defaultColWidth="8.7109375" defaultRowHeight="15" x14ac:dyDescent="0.25"/>
  <cols>
    <col min="1" max="1" width="22.7109375" bestFit="1" customWidth="1"/>
    <col min="2" max="2" width="14.85546875" customWidth="1"/>
    <col min="3" max="3" width="16.85546875" bestFit="1" customWidth="1"/>
    <col min="4" max="4" width="26.140625" bestFit="1" customWidth="1"/>
    <col min="5" max="5" width="65.28515625" customWidth="1"/>
    <col min="6" max="6" width="49.5703125" customWidth="1"/>
    <col min="7" max="7" width="26" customWidth="1"/>
    <col min="8" max="8" width="13.42578125" customWidth="1"/>
    <col min="9" max="9" width="42" customWidth="1"/>
    <col min="10" max="10" width="42.140625" customWidth="1"/>
    <col min="11" max="11" width="25" customWidth="1"/>
    <col min="12" max="12" width="33.7109375" customWidth="1"/>
    <col min="13" max="13" width="44.85546875" customWidth="1"/>
    <col min="14" max="14" width="34.7109375" customWidth="1"/>
    <col min="15" max="15" width="34" customWidth="1"/>
    <col min="16" max="16" width="22.85546875" customWidth="1"/>
    <col min="17" max="17" width="13.42578125" bestFit="1" customWidth="1"/>
    <col min="18" max="18" width="35.85546875" customWidth="1"/>
  </cols>
  <sheetData>
    <row r="1" spans="1:9" ht="36.75" customHeight="1" x14ac:dyDescent="0.25">
      <c r="A1" s="287" t="s">
        <v>108</v>
      </c>
      <c r="B1" s="288"/>
      <c r="C1" s="288"/>
      <c r="D1" s="288"/>
      <c r="E1" s="288"/>
      <c r="F1" s="288"/>
      <c r="G1" s="288"/>
    </row>
    <row r="2" spans="1:9" ht="15.75" x14ac:dyDescent="0.25">
      <c r="A2" s="102"/>
      <c r="B2" s="103"/>
      <c r="C2" s="104"/>
      <c r="D2" s="104"/>
      <c r="E2" s="1"/>
      <c r="F2" s="1"/>
      <c r="G2" s="1"/>
    </row>
    <row r="3" spans="1:9" ht="15.75" x14ac:dyDescent="0.25">
      <c r="A3" s="102"/>
      <c r="B3" s="103"/>
      <c r="C3" s="104"/>
      <c r="D3" s="104"/>
      <c r="E3" s="1"/>
      <c r="F3" s="1"/>
      <c r="G3" s="1"/>
    </row>
    <row r="4" spans="1:9" s="118" customFormat="1" ht="30" x14ac:dyDescent="0.25">
      <c r="A4" s="105" t="s">
        <v>109</v>
      </c>
      <c r="B4" s="136" t="s">
        <v>110</v>
      </c>
      <c r="C4" s="106" t="s">
        <v>111</v>
      </c>
      <c r="D4" s="106" t="s">
        <v>112</v>
      </c>
      <c r="E4" s="117" t="s">
        <v>51</v>
      </c>
      <c r="F4" s="135" t="s">
        <v>113</v>
      </c>
      <c r="G4" s="117" t="s">
        <v>114</v>
      </c>
    </row>
    <row r="5" spans="1:9" s="118" customFormat="1" ht="15.75" x14ac:dyDescent="0.25">
      <c r="A5" s="105"/>
      <c r="B5" s="136"/>
      <c r="C5" s="106"/>
      <c r="D5" s="106" t="s">
        <v>194</v>
      </c>
      <c r="E5" s="117"/>
      <c r="F5" s="135"/>
      <c r="G5" s="117"/>
    </row>
    <row r="6" spans="1:9" x14ac:dyDescent="0.25">
      <c r="A6" s="168" t="s">
        <v>217</v>
      </c>
      <c r="B6" s="167">
        <v>5</v>
      </c>
      <c r="C6" s="167" t="s">
        <v>115</v>
      </c>
      <c r="D6" s="167" t="s">
        <v>116</v>
      </c>
      <c r="E6" s="169" t="s">
        <v>436</v>
      </c>
      <c r="F6" s="169" t="s">
        <v>337</v>
      </c>
      <c r="G6" s="169"/>
      <c r="I6" s="52"/>
    </row>
    <row r="7" spans="1:9" s="164" customFormat="1" ht="28.5" x14ac:dyDescent="0.25">
      <c r="A7" s="168" t="s">
        <v>217</v>
      </c>
      <c r="B7" s="167">
        <v>1</v>
      </c>
      <c r="C7" s="167" t="s">
        <v>115</v>
      </c>
      <c r="D7" s="167" t="s">
        <v>121</v>
      </c>
      <c r="E7" s="169" t="s">
        <v>336</v>
      </c>
      <c r="F7" s="177" t="s">
        <v>225</v>
      </c>
      <c r="G7" s="169"/>
      <c r="I7" s="52"/>
    </row>
    <row r="8" spans="1:9" s="164" customFormat="1" x14ac:dyDescent="0.25">
      <c r="A8" s="168" t="s">
        <v>217</v>
      </c>
      <c r="B8" s="167">
        <v>1</v>
      </c>
      <c r="C8" s="167" t="s">
        <v>115</v>
      </c>
      <c r="D8" s="167" t="s">
        <v>116</v>
      </c>
      <c r="E8" s="169" t="s">
        <v>437</v>
      </c>
      <c r="F8" s="177"/>
      <c r="G8" s="169"/>
      <c r="I8" s="52"/>
    </row>
    <row r="9" spans="1:9" s="164" customFormat="1" x14ac:dyDescent="0.25">
      <c r="A9" s="168" t="s">
        <v>217</v>
      </c>
      <c r="B9" s="167">
        <v>1</v>
      </c>
      <c r="C9" s="167" t="s">
        <v>115</v>
      </c>
      <c r="D9" s="167" t="s">
        <v>128</v>
      </c>
      <c r="E9" s="169" t="s">
        <v>438</v>
      </c>
      <c r="F9" s="177" t="s">
        <v>439</v>
      </c>
      <c r="G9" s="169"/>
      <c r="I9" s="52"/>
    </row>
    <row r="10" spans="1:9" ht="28.5" x14ac:dyDescent="0.25">
      <c r="A10" s="168" t="s">
        <v>104</v>
      </c>
      <c r="B10" s="167">
        <v>1</v>
      </c>
      <c r="C10" s="167" t="s">
        <v>119</v>
      </c>
      <c r="D10" s="167" t="s">
        <v>128</v>
      </c>
      <c r="E10" s="169" t="s">
        <v>440</v>
      </c>
      <c r="F10" s="169" t="s">
        <v>441</v>
      </c>
      <c r="G10" s="169"/>
      <c r="I10" s="52"/>
    </row>
    <row r="11" spans="1:9" ht="28.5" x14ac:dyDescent="0.25">
      <c r="A11" s="168" t="s">
        <v>237</v>
      </c>
      <c r="B11" s="167">
        <v>1</v>
      </c>
      <c r="C11" s="167" t="s">
        <v>117</v>
      </c>
      <c r="D11" s="167" t="s">
        <v>116</v>
      </c>
      <c r="E11" s="169" t="s">
        <v>442</v>
      </c>
      <c r="F11" s="177"/>
      <c r="G11" s="178"/>
      <c r="I11" s="52"/>
    </row>
    <row r="12" spans="1:9" ht="28.5" x14ac:dyDescent="0.25">
      <c r="A12" s="170" t="s">
        <v>229</v>
      </c>
      <c r="B12" s="167">
        <v>1</v>
      </c>
      <c r="C12" s="167" t="s">
        <v>115</v>
      </c>
      <c r="D12" s="167" t="s">
        <v>121</v>
      </c>
      <c r="E12" s="169" t="s">
        <v>443</v>
      </c>
      <c r="F12" s="177" t="s">
        <v>225</v>
      </c>
      <c r="G12" s="169"/>
      <c r="I12" s="52"/>
    </row>
    <row r="13" spans="1:9" s="164" customFormat="1" ht="28.5" x14ac:dyDescent="0.25">
      <c r="A13" s="170" t="s">
        <v>229</v>
      </c>
      <c r="B13" s="167">
        <v>1</v>
      </c>
      <c r="C13" s="167" t="s">
        <v>115</v>
      </c>
      <c r="D13" s="167" t="s">
        <v>116</v>
      </c>
      <c r="E13" s="169" t="s">
        <v>444</v>
      </c>
      <c r="F13" s="177" t="s">
        <v>337</v>
      </c>
      <c r="G13" s="169"/>
      <c r="I13" s="52"/>
    </row>
    <row r="14" spans="1:9" x14ac:dyDescent="0.25">
      <c r="A14" s="170"/>
      <c r="B14" s="167"/>
      <c r="C14" s="167"/>
      <c r="D14" s="167"/>
      <c r="E14" s="169"/>
      <c r="F14" s="169"/>
      <c r="G14" s="169"/>
      <c r="I14" s="52"/>
    </row>
    <row r="15" spans="1:9" x14ac:dyDescent="0.25">
      <c r="A15" s="170"/>
      <c r="B15" s="167"/>
      <c r="C15" s="167"/>
      <c r="D15" s="167"/>
      <c r="E15" s="169"/>
      <c r="F15" s="169"/>
      <c r="G15" s="169"/>
      <c r="I15" s="52"/>
    </row>
    <row r="16" spans="1:9" x14ac:dyDescent="0.25">
      <c r="A16" s="170"/>
      <c r="B16" s="167"/>
      <c r="C16" s="167"/>
      <c r="D16" s="167"/>
      <c r="E16" s="169"/>
      <c r="F16" s="169"/>
      <c r="G16" s="169"/>
      <c r="I16" s="52"/>
    </row>
    <row r="17" spans="1:9" hidden="1" x14ac:dyDescent="0.25">
      <c r="A17" s="109"/>
      <c r="B17" s="107"/>
      <c r="C17" s="107"/>
      <c r="D17" s="107"/>
      <c r="E17" s="108"/>
      <c r="F17" s="108"/>
      <c r="G17" s="108"/>
      <c r="I17" s="52"/>
    </row>
    <row r="18" spans="1:9" hidden="1" x14ac:dyDescent="0.25">
      <c r="A18" s="109"/>
      <c r="B18" s="107"/>
      <c r="C18" s="107"/>
      <c r="D18" s="107"/>
      <c r="E18" s="108"/>
      <c r="F18" s="108"/>
      <c r="G18" s="108"/>
      <c r="I18" s="52"/>
    </row>
    <row r="19" spans="1:9" x14ac:dyDescent="0.25">
      <c r="B19" s="12"/>
      <c r="C19" s="10"/>
      <c r="D19" s="10"/>
    </row>
    <row r="20" spans="1:9" x14ac:dyDescent="0.25">
      <c r="B20" s="12"/>
      <c r="C20" s="10"/>
      <c r="D20" s="10"/>
    </row>
    <row r="21" spans="1:9" s="14" customFormat="1" x14ac:dyDescent="0.25">
      <c r="A21" s="14" t="s">
        <v>122</v>
      </c>
      <c r="B21" s="15">
        <f>SUMIFS(B6:B16,B6:B16,"&gt;0",C6:C16,"&lt;&gt;1 - Rarely")</f>
        <v>12</v>
      </c>
      <c r="C21" s="16"/>
      <c r="D21" s="16"/>
    </row>
    <row r="22" spans="1:9" x14ac:dyDescent="0.25">
      <c r="B22" s="10"/>
      <c r="C22" s="10"/>
      <c r="D22" s="10"/>
    </row>
    <row r="23" spans="1:9" s="11" customFormat="1" ht="15.75" x14ac:dyDescent="0.25">
      <c r="A23" s="17" t="s">
        <v>123</v>
      </c>
      <c r="B23" s="18" t="s">
        <v>124</v>
      </c>
      <c r="C23" s="10"/>
      <c r="D23" s="149" t="s">
        <v>112</v>
      </c>
      <c r="E23"/>
      <c r="F23"/>
      <c r="G23"/>
    </row>
    <row r="24" spans="1:9" x14ac:dyDescent="0.25">
      <c r="A24" s="110" t="s">
        <v>120</v>
      </c>
      <c r="B24" s="111" t="s">
        <v>125</v>
      </c>
      <c r="C24" s="10"/>
      <c r="D24" s="150" t="s">
        <v>118</v>
      </c>
    </row>
    <row r="25" spans="1:9" x14ac:dyDescent="0.25">
      <c r="A25" s="110" t="s">
        <v>117</v>
      </c>
      <c r="B25" s="111" t="s">
        <v>126</v>
      </c>
      <c r="C25" s="19"/>
      <c r="D25" s="150" t="s">
        <v>121</v>
      </c>
    </row>
    <row r="26" spans="1:9" x14ac:dyDescent="0.25">
      <c r="A26" s="110" t="s">
        <v>115</v>
      </c>
      <c r="B26" s="111" t="s">
        <v>126</v>
      </c>
      <c r="C26" s="10"/>
      <c r="D26" s="150" t="s">
        <v>127</v>
      </c>
    </row>
    <row r="27" spans="1:9" x14ac:dyDescent="0.25">
      <c r="A27" s="110" t="s">
        <v>119</v>
      </c>
      <c r="B27" s="111" t="s">
        <v>126</v>
      </c>
      <c r="C27" s="10"/>
      <c r="D27" s="150" t="s">
        <v>116</v>
      </c>
    </row>
    <row r="28" spans="1:9" x14ac:dyDescent="0.25">
      <c r="A28" s="112"/>
      <c r="B28" s="113"/>
      <c r="C28" s="10"/>
      <c r="D28" s="151" t="s">
        <v>128</v>
      </c>
    </row>
    <row r="29" spans="1:9" x14ac:dyDescent="0.25">
      <c r="C29" s="10"/>
      <c r="D29" s="10"/>
    </row>
    <row r="30" spans="1:9" x14ac:dyDescent="0.25">
      <c r="C30" s="10"/>
      <c r="D30" s="10"/>
    </row>
    <row r="31" spans="1:9" x14ac:dyDescent="0.25">
      <c r="C31" s="10"/>
      <c r="D31" s="10"/>
    </row>
    <row r="32" spans="1:9" x14ac:dyDescent="0.25">
      <c r="C32" s="10"/>
      <c r="D32" s="10"/>
    </row>
    <row r="33" spans="3:4" x14ac:dyDescent="0.25">
      <c r="C33" s="10"/>
      <c r="D33" s="10"/>
    </row>
    <row r="34" spans="3:4" x14ac:dyDescent="0.25">
      <c r="C34" s="10"/>
      <c r="D34" s="10"/>
    </row>
  </sheetData>
  <autoFilter ref="A4:G11" xr:uid="{60763D3C-EEC6-4C62-9B7A-8524AA97A3A7}"/>
  <mergeCells count="1">
    <mergeCell ref="A1:G1"/>
  </mergeCells>
  <phoneticPr fontId="30" type="noConversion"/>
  <conditionalFormatting sqref="C12 C6:D6 C10:D10 C14:C18">
    <cfRule type="cellIs" dxfId="23" priority="25" operator="equal">
      <formula>"2 - Periodically"</formula>
    </cfRule>
    <cfRule type="cellIs" dxfId="22" priority="26" operator="equal">
      <formula>"4 - Constantly"</formula>
    </cfRule>
    <cfRule type="cellIs" dxfId="21" priority="27" operator="equal">
      <formula>"3 - Regularly"</formula>
    </cfRule>
  </conditionalFormatting>
  <conditionalFormatting sqref="D12 D14:D18">
    <cfRule type="cellIs" dxfId="20" priority="22" operator="equal">
      <formula>"2 - Periodically"</formula>
    </cfRule>
    <cfRule type="cellIs" dxfId="19" priority="23" operator="equal">
      <formula>"4 - Constantly"</formula>
    </cfRule>
    <cfRule type="cellIs" dxfId="18" priority="24" operator="equal">
      <formula>"3 - Regularly"</formula>
    </cfRule>
  </conditionalFormatting>
  <conditionalFormatting sqref="C11:D11">
    <cfRule type="cellIs" dxfId="17" priority="19" operator="equal">
      <formula>"2 - Periodically"</formula>
    </cfRule>
    <cfRule type="cellIs" dxfId="16" priority="20" operator="equal">
      <formula>"4 - Constantly"</formula>
    </cfRule>
    <cfRule type="cellIs" dxfId="15" priority="21" operator="equal">
      <formula>"3 - Regularly"</formula>
    </cfRule>
  </conditionalFormatting>
  <conditionalFormatting sqref="C7:D7">
    <cfRule type="cellIs" dxfId="14" priority="13" operator="equal">
      <formula>"2 - Periodically"</formula>
    </cfRule>
    <cfRule type="cellIs" dxfId="13" priority="14" operator="equal">
      <formula>"4 - Constantly"</formula>
    </cfRule>
    <cfRule type="cellIs" dxfId="12" priority="15" operator="equal">
      <formula>"3 - Regularly"</formula>
    </cfRule>
  </conditionalFormatting>
  <conditionalFormatting sqref="C8:D8">
    <cfRule type="cellIs" dxfId="11" priority="10" operator="equal">
      <formula>"2 - Periodically"</formula>
    </cfRule>
    <cfRule type="cellIs" dxfId="10" priority="11" operator="equal">
      <formula>"4 - Constantly"</formula>
    </cfRule>
    <cfRule type="cellIs" dxfId="9" priority="12" operator="equal">
      <formula>"3 - Regularly"</formula>
    </cfRule>
  </conditionalFormatting>
  <conditionalFormatting sqref="C9:D9">
    <cfRule type="cellIs" dxfId="8" priority="7" operator="equal">
      <formula>"2 - Periodically"</formula>
    </cfRule>
    <cfRule type="cellIs" dxfId="7" priority="8" operator="equal">
      <formula>"4 - Constantly"</formula>
    </cfRule>
    <cfRule type="cellIs" dxfId="6" priority="9" operator="equal">
      <formula>"3 - Regularly"</formula>
    </cfRule>
  </conditionalFormatting>
  <conditionalFormatting sqref="C13">
    <cfRule type="cellIs" dxfId="5" priority="4" operator="equal">
      <formula>"2 - Periodically"</formula>
    </cfRule>
    <cfRule type="cellIs" dxfId="4" priority="5" operator="equal">
      <formula>"4 - Constantly"</formula>
    </cfRule>
    <cfRule type="cellIs" dxfId="3" priority="6" operator="equal">
      <formula>"3 - Regularly"</formula>
    </cfRule>
  </conditionalFormatting>
  <conditionalFormatting sqref="D13">
    <cfRule type="cellIs" dxfId="2" priority="1" operator="equal">
      <formula>"2 - Periodically"</formula>
    </cfRule>
    <cfRule type="cellIs" dxfId="1" priority="2" operator="equal">
      <formula>"4 - Constantly"</formula>
    </cfRule>
    <cfRule type="cellIs" dxfId="0" priority="3" operator="equal">
      <formula>"3 - Regularly"</formula>
    </cfRule>
  </conditionalFormatting>
  <dataValidations count="4">
    <dataValidation type="list" allowBlank="1" showInputMessage="1" showErrorMessage="1" sqref="C6:C10 C12:C18" xr:uid="{56546A0A-3207-4B46-84AB-FF15FDD7828F}">
      <formula1>$A$24:$A$27</formula1>
    </dataValidation>
    <dataValidation type="list" allowBlank="1" showInputMessage="1" showErrorMessage="1" sqref="D6:D10 D12:D18" xr:uid="{65F309E0-A8FB-4D2A-BB1C-B4BBCBC6A55C}">
      <formula1>$D$24:$D$28</formula1>
    </dataValidation>
    <dataValidation type="list" allowBlank="1" showInputMessage="1" showErrorMessage="1" sqref="D11" xr:uid="{B48B906B-1F07-4AE6-AE4C-E116EDB042AB}">
      <formula1>$D$25:$D$29</formula1>
    </dataValidation>
    <dataValidation type="list" allowBlank="1" showInputMessage="1" showErrorMessage="1" sqref="C11" xr:uid="{49E5AC88-4AAA-4A17-B771-8B9844D5D75E}">
      <formula1>$A$25:$A$28</formula1>
    </dataValidation>
  </dataValidations>
  <pageMargins left="0.7" right="0.7" top="0.75" bottom="0.75" header="0.3" footer="0.3"/>
  <pageSetup orientation="portrait" r:id="rId1"/>
  <headerFooter>
    <oddFooter>&amp;L&amp;1#&amp;"Arial"&amp;10&amp;K000000[Internal]</oddFooter>
  </headerFooter>
  <customProperties>
    <customPr name="IbpWorksheetKeyString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3EA35-1EBD-4B82-AD28-B1BD89AD3575}">
  <dimension ref="A1:P65"/>
  <sheetViews>
    <sheetView showGridLines="0" topLeftCell="D10" zoomScale="85" zoomScaleNormal="85" workbookViewId="0">
      <selection activeCell="I15" sqref="I15"/>
    </sheetView>
  </sheetViews>
  <sheetFormatPr defaultColWidth="9.140625" defaultRowHeight="15" x14ac:dyDescent="0.25"/>
  <cols>
    <col min="2" max="2" width="5.5703125" customWidth="1"/>
    <col min="3" max="3" width="21.140625" customWidth="1"/>
    <col min="4" max="4" width="4" customWidth="1"/>
    <col min="5" max="5" width="18.42578125" customWidth="1"/>
    <col min="6" max="6" width="2.28515625" customWidth="1"/>
    <col min="7" max="7" width="27" customWidth="1"/>
    <col min="8" max="8" width="14.5703125" bestFit="1" customWidth="1"/>
    <col min="9" max="9" width="11.5703125" bestFit="1" customWidth="1"/>
    <col min="10" max="10" width="26.7109375" customWidth="1"/>
    <col min="11" max="11" width="51.28515625" customWidth="1"/>
    <col min="12" max="12" width="67.85546875" style="211" customWidth="1"/>
  </cols>
  <sheetData>
    <row r="1" spans="1:16" ht="26.25" x14ac:dyDescent="0.25">
      <c r="A1" s="60" t="s">
        <v>108</v>
      </c>
      <c r="B1" s="61"/>
      <c r="C1" s="61"/>
      <c r="D1" s="61"/>
      <c r="E1" s="61"/>
      <c r="F1" s="61"/>
      <c r="G1" s="61"/>
      <c r="H1" s="61"/>
      <c r="I1" s="61"/>
      <c r="J1" s="61"/>
      <c r="K1" s="61"/>
    </row>
    <row r="2" spans="1:16" ht="18.75" x14ac:dyDescent="0.25">
      <c r="A2" s="323" t="s">
        <v>38</v>
      </c>
      <c r="B2" s="324"/>
      <c r="C2" s="324"/>
      <c r="D2" s="324"/>
      <c r="E2" s="324"/>
      <c r="F2" s="324"/>
      <c r="G2" s="324"/>
      <c r="H2" s="324"/>
      <c r="I2" s="324"/>
      <c r="J2" s="324"/>
      <c r="K2" s="74"/>
    </row>
    <row r="3" spans="1:16" ht="18.75" x14ac:dyDescent="0.25">
      <c r="A3" s="75"/>
      <c r="B3" s="75"/>
      <c r="C3" s="75"/>
      <c r="D3" s="75"/>
      <c r="E3" s="75"/>
      <c r="F3" s="75"/>
      <c r="G3" s="75"/>
      <c r="H3" s="75"/>
      <c r="I3" s="75"/>
      <c r="J3" s="75"/>
      <c r="K3" s="75"/>
    </row>
    <row r="4" spans="1:16" ht="18.75" x14ac:dyDescent="0.25">
      <c r="A4" s="75"/>
      <c r="B4" s="75"/>
      <c r="C4" s="75"/>
      <c r="D4" s="75"/>
      <c r="E4" s="75"/>
      <c r="F4" s="75"/>
      <c r="G4" s="75"/>
      <c r="H4" s="75"/>
      <c r="I4" s="75"/>
      <c r="J4" s="75"/>
      <c r="K4" s="75"/>
    </row>
    <row r="5" spans="1:16" ht="15.75" x14ac:dyDescent="0.25">
      <c r="B5" s="243" t="s">
        <v>38</v>
      </c>
      <c r="C5" s="243"/>
      <c r="D5" s="243"/>
      <c r="E5" s="243"/>
      <c r="F5" s="243"/>
      <c r="G5" s="243"/>
      <c r="H5" s="243"/>
      <c r="I5" s="243"/>
      <c r="J5" s="243"/>
      <c r="K5" s="73"/>
    </row>
    <row r="6" spans="1:16" ht="30" x14ac:dyDescent="0.25">
      <c r="B6" s="329" t="s">
        <v>40</v>
      </c>
      <c r="C6" s="330"/>
      <c r="D6" s="330"/>
      <c r="E6" s="330"/>
      <c r="F6" s="330"/>
      <c r="G6" s="330"/>
      <c r="H6" s="68" t="s">
        <v>41</v>
      </c>
      <c r="I6" s="69" t="s">
        <v>42</v>
      </c>
      <c r="J6" s="70" t="s">
        <v>43</v>
      </c>
      <c r="K6" s="76" t="s">
        <v>129</v>
      </c>
      <c r="L6" s="210" t="s">
        <v>304</v>
      </c>
    </row>
    <row r="7" spans="1:16" ht="30" x14ac:dyDescent="0.25">
      <c r="B7" s="165" t="s">
        <v>48</v>
      </c>
      <c r="C7" s="301" t="s">
        <v>210</v>
      </c>
      <c r="D7" s="302"/>
      <c r="E7" s="302"/>
      <c r="F7" s="302"/>
      <c r="G7" s="303"/>
      <c r="H7" s="172" t="s">
        <v>219</v>
      </c>
      <c r="I7" s="221">
        <v>45076</v>
      </c>
      <c r="J7" s="85" t="s">
        <v>168</v>
      </c>
      <c r="K7" s="209" t="s">
        <v>297</v>
      </c>
      <c r="L7" s="213" t="s">
        <v>309</v>
      </c>
    </row>
    <row r="8" spans="1:16" ht="89.25" x14ac:dyDescent="0.25">
      <c r="B8" s="166" t="s">
        <v>57</v>
      </c>
      <c r="C8" s="301" t="s">
        <v>199</v>
      </c>
      <c r="D8" s="302"/>
      <c r="E8" s="302"/>
      <c r="F8" s="302"/>
      <c r="G8" s="303"/>
      <c r="H8" s="172" t="s">
        <v>220</v>
      </c>
      <c r="I8" s="221">
        <v>45107</v>
      </c>
      <c r="J8" s="85" t="s">
        <v>218</v>
      </c>
      <c r="K8" s="209" t="s">
        <v>317</v>
      </c>
      <c r="L8" s="213" t="s">
        <v>310</v>
      </c>
    </row>
    <row r="9" spans="1:16" ht="51" x14ac:dyDescent="0.25">
      <c r="B9" s="166" t="s">
        <v>61</v>
      </c>
      <c r="C9" s="301" t="s">
        <v>252</v>
      </c>
      <c r="D9" s="302"/>
      <c r="E9" s="302"/>
      <c r="F9" s="302"/>
      <c r="G9" s="325"/>
      <c r="H9" s="82" t="s">
        <v>253</v>
      </c>
      <c r="I9" s="221">
        <v>45107</v>
      </c>
      <c r="J9" s="93" t="s">
        <v>251</v>
      </c>
      <c r="K9" s="209" t="s">
        <v>318</v>
      </c>
      <c r="L9" s="213" t="s">
        <v>308</v>
      </c>
    </row>
    <row r="10" spans="1:16" ht="71.25" customHeight="1" x14ac:dyDescent="0.25">
      <c r="B10" s="165" t="s">
        <v>278</v>
      </c>
      <c r="C10" s="326" t="s">
        <v>255</v>
      </c>
      <c r="D10" s="290"/>
      <c r="E10" s="290"/>
      <c r="F10" s="290"/>
      <c r="G10" s="291"/>
      <c r="H10" s="190" t="s">
        <v>267</v>
      </c>
      <c r="I10" s="221">
        <v>44742</v>
      </c>
      <c r="J10" s="192" t="s">
        <v>227</v>
      </c>
      <c r="K10" s="208" t="s">
        <v>319</v>
      </c>
      <c r="L10" s="213" t="s">
        <v>307</v>
      </c>
      <c r="M10" s="164"/>
      <c r="N10" s="164"/>
      <c r="O10" s="164"/>
      <c r="P10" s="164"/>
    </row>
    <row r="11" spans="1:16" ht="51" x14ac:dyDescent="0.25">
      <c r="B11" s="165" t="s">
        <v>64</v>
      </c>
      <c r="C11" s="331" t="s">
        <v>263</v>
      </c>
      <c r="D11" s="332"/>
      <c r="E11" s="332"/>
      <c r="F11" s="332"/>
      <c r="G11" s="333"/>
      <c r="H11" s="196" t="s">
        <v>339</v>
      </c>
      <c r="I11" s="221">
        <v>45107</v>
      </c>
      <c r="J11" s="199" t="s">
        <v>144</v>
      </c>
      <c r="K11" s="212" t="s">
        <v>320</v>
      </c>
      <c r="L11" s="213" t="s">
        <v>285</v>
      </c>
    </row>
    <row r="12" spans="1:16" s="189" customFormat="1" x14ac:dyDescent="0.25">
      <c r="B12" s="166" t="s">
        <v>279</v>
      </c>
      <c r="C12" s="292"/>
      <c r="D12" s="293"/>
      <c r="E12" s="293"/>
      <c r="F12" s="293"/>
      <c r="G12" s="294"/>
      <c r="H12" s="196"/>
      <c r="I12" s="200"/>
      <c r="J12" s="199"/>
      <c r="K12" s="212"/>
      <c r="L12" s="214"/>
    </row>
    <row r="13" spans="1:16" s="189" customFormat="1" ht="25.5" customHeight="1" x14ac:dyDescent="0.25">
      <c r="B13" s="166" t="s">
        <v>69</v>
      </c>
      <c r="C13" s="313" t="s">
        <v>290</v>
      </c>
      <c r="D13" s="293"/>
      <c r="E13" s="293"/>
      <c r="F13" s="293"/>
      <c r="G13" s="294"/>
      <c r="H13" s="196" t="s">
        <v>291</v>
      </c>
      <c r="I13" s="200">
        <v>45107</v>
      </c>
      <c r="J13" s="197" t="s">
        <v>292</v>
      </c>
      <c r="K13" s="212" t="s">
        <v>322</v>
      </c>
      <c r="L13" s="214" t="s">
        <v>305</v>
      </c>
    </row>
    <row r="14" spans="1:16" s="189" customFormat="1" ht="29.25" customHeight="1" x14ac:dyDescent="0.25">
      <c r="B14" s="165" t="s">
        <v>280</v>
      </c>
      <c r="C14" s="313" t="s">
        <v>338</v>
      </c>
      <c r="D14" s="293"/>
      <c r="E14" s="293"/>
      <c r="F14" s="293"/>
      <c r="G14" s="294"/>
      <c r="H14" s="196" t="s">
        <v>445</v>
      </c>
      <c r="I14" s="143">
        <v>45107</v>
      </c>
      <c r="J14" s="156" t="s">
        <v>269</v>
      </c>
      <c r="K14" s="212"/>
      <c r="L14" s="214" t="s">
        <v>335</v>
      </c>
    </row>
    <row r="15" spans="1:16" s="189" customFormat="1" ht="35.25" customHeight="1" x14ac:dyDescent="0.25">
      <c r="B15" s="165" t="s">
        <v>281</v>
      </c>
      <c r="C15" s="313"/>
      <c r="D15" s="293"/>
      <c r="E15" s="293"/>
      <c r="F15" s="293"/>
      <c r="G15" s="294"/>
      <c r="H15" s="198"/>
      <c r="I15" s="200"/>
      <c r="J15" s="199"/>
      <c r="K15" s="212"/>
      <c r="L15" s="214"/>
    </row>
    <row r="16" spans="1:16" s="189" customFormat="1" ht="15" customHeight="1" x14ac:dyDescent="0.25">
      <c r="B16" s="166" t="s">
        <v>286</v>
      </c>
      <c r="C16" s="313"/>
      <c r="D16" s="293"/>
      <c r="E16" s="293"/>
      <c r="F16" s="293"/>
      <c r="G16" s="294"/>
      <c r="H16" s="196"/>
      <c r="I16" s="200"/>
      <c r="J16" s="197"/>
      <c r="K16" s="212"/>
      <c r="L16" s="214"/>
    </row>
    <row r="17" spans="2:12" s="201" customFormat="1" ht="28.5" customHeight="1" x14ac:dyDescent="0.2">
      <c r="B17" s="166" t="s">
        <v>287</v>
      </c>
      <c r="C17" s="334"/>
      <c r="D17" s="334"/>
      <c r="E17" s="334"/>
      <c r="F17" s="334"/>
      <c r="G17" s="334"/>
      <c r="H17" s="190"/>
      <c r="I17" s="191"/>
      <c r="J17" s="190"/>
      <c r="K17" s="212"/>
      <c r="L17" s="215"/>
    </row>
    <row r="18" spans="2:12" s="201" customFormat="1" ht="12.75" x14ac:dyDescent="0.2">
      <c r="B18" s="165" t="s">
        <v>288</v>
      </c>
      <c r="C18" s="326"/>
      <c r="D18" s="290"/>
      <c r="E18" s="290"/>
      <c r="F18" s="290"/>
      <c r="G18" s="291"/>
      <c r="H18" s="190"/>
      <c r="I18" s="200"/>
      <c r="J18" s="192"/>
      <c r="K18" s="208"/>
      <c r="L18" s="215"/>
    </row>
    <row r="19" spans="2:12" x14ac:dyDescent="0.25">
      <c r="B19" s="32"/>
      <c r="C19" s="54"/>
      <c r="D19" s="54"/>
      <c r="E19" s="54"/>
      <c r="F19" s="54"/>
      <c r="G19" s="54"/>
      <c r="H19" s="48"/>
      <c r="I19" s="48"/>
      <c r="J19" s="39"/>
      <c r="K19" s="39"/>
    </row>
    <row r="20" spans="2:12" x14ac:dyDescent="0.25">
      <c r="B20" s="32"/>
      <c r="C20" s="54"/>
      <c r="D20" s="54"/>
      <c r="E20" s="54"/>
      <c r="F20" s="54"/>
      <c r="G20" s="54"/>
      <c r="H20" s="48"/>
      <c r="I20" s="48"/>
      <c r="J20" s="39"/>
      <c r="K20" s="39"/>
    </row>
    <row r="21" spans="2:12" x14ac:dyDescent="0.25">
      <c r="B21" s="32"/>
      <c r="C21" s="54"/>
      <c r="D21" s="54"/>
      <c r="E21" s="54"/>
      <c r="F21" s="54"/>
      <c r="G21" s="54"/>
      <c r="H21" s="48"/>
      <c r="I21" s="48"/>
      <c r="J21" s="39"/>
      <c r="K21" s="39"/>
    </row>
    <row r="22" spans="2:12" x14ac:dyDescent="0.25">
      <c r="B22" s="317" t="s">
        <v>53</v>
      </c>
      <c r="C22" s="318"/>
      <c r="D22" s="318"/>
      <c r="E22" s="318"/>
      <c r="F22" s="318"/>
      <c r="G22" s="318"/>
      <c r="H22" s="335" t="s">
        <v>41</v>
      </c>
      <c r="I22" s="337" t="s">
        <v>42</v>
      </c>
      <c r="J22" s="327" t="s">
        <v>43</v>
      </c>
      <c r="K22" s="321" t="s">
        <v>130</v>
      </c>
      <c r="L22" s="321" t="s">
        <v>304</v>
      </c>
    </row>
    <row r="23" spans="2:12" ht="15" customHeight="1" x14ac:dyDescent="0.25">
      <c r="B23" s="319"/>
      <c r="C23" s="320"/>
      <c r="D23" s="320"/>
      <c r="E23" s="320"/>
      <c r="F23" s="320"/>
      <c r="G23" s="320"/>
      <c r="H23" s="336"/>
      <c r="I23" s="338"/>
      <c r="J23" s="328"/>
      <c r="K23" s="322"/>
      <c r="L23" s="345"/>
    </row>
    <row r="24" spans="2:12" x14ac:dyDescent="0.25">
      <c r="B24" s="78" t="s">
        <v>44</v>
      </c>
      <c r="C24" s="339" t="s">
        <v>131</v>
      </c>
      <c r="D24" s="299"/>
      <c r="E24" s="299"/>
      <c r="F24" s="299"/>
      <c r="G24" s="340"/>
      <c r="H24" s="82" t="s">
        <v>132</v>
      </c>
      <c r="I24" s="90">
        <v>44494</v>
      </c>
      <c r="J24" s="92" t="s">
        <v>133</v>
      </c>
      <c r="K24" s="217">
        <v>44470</v>
      </c>
      <c r="L24" s="213"/>
    </row>
    <row r="25" spans="2:12" ht="29.25" customHeight="1" x14ac:dyDescent="0.25">
      <c r="B25" s="77" t="s">
        <v>46</v>
      </c>
      <c r="C25" s="314" t="s">
        <v>134</v>
      </c>
      <c r="D25" s="315"/>
      <c r="E25" s="315"/>
      <c r="F25" s="315"/>
      <c r="G25" s="316"/>
      <c r="H25" s="81" t="s">
        <v>135</v>
      </c>
      <c r="I25" s="87">
        <v>44526</v>
      </c>
      <c r="J25" s="86" t="s">
        <v>136</v>
      </c>
      <c r="K25" s="217">
        <v>44501</v>
      </c>
      <c r="L25" s="213"/>
    </row>
    <row r="26" spans="2:12" ht="15" customHeight="1" x14ac:dyDescent="0.25">
      <c r="B26" s="80" t="s">
        <v>50</v>
      </c>
      <c r="C26" s="94" t="s">
        <v>137</v>
      </c>
      <c r="D26" s="95"/>
      <c r="E26" s="95"/>
      <c r="F26" s="95"/>
      <c r="G26" s="96"/>
      <c r="H26" s="83" t="s">
        <v>138</v>
      </c>
      <c r="I26" s="88">
        <v>44512</v>
      </c>
      <c r="J26" s="89" t="s">
        <v>139</v>
      </c>
      <c r="K26" s="217">
        <v>44502</v>
      </c>
      <c r="L26" s="213"/>
    </row>
    <row r="27" spans="2:12" ht="15" customHeight="1" x14ac:dyDescent="0.25">
      <c r="B27" s="80" t="s">
        <v>67</v>
      </c>
      <c r="C27" s="114" t="s">
        <v>140</v>
      </c>
      <c r="D27" s="115"/>
      <c r="E27" s="115"/>
      <c r="F27" s="115"/>
      <c r="G27" s="116"/>
      <c r="H27" s="82" t="s">
        <v>141</v>
      </c>
      <c r="I27" s="87">
        <v>44503</v>
      </c>
      <c r="J27" s="89" t="s">
        <v>142</v>
      </c>
      <c r="K27" s="217">
        <v>44503</v>
      </c>
      <c r="L27" s="213"/>
    </row>
    <row r="28" spans="2:12" ht="15" customHeight="1" x14ac:dyDescent="0.25">
      <c r="B28" s="80" t="s">
        <v>71</v>
      </c>
      <c r="C28" s="295" t="s">
        <v>143</v>
      </c>
      <c r="D28" s="296"/>
      <c r="E28" s="296"/>
      <c r="F28" s="296"/>
      <c r="G28" s="297"/>
      <c r="H28" s="82" t="s">
        <v>132</v>
      </c>
      <c r="I28" s="90">
        <v>44561</v>
      </c>
      <c r="J28" s="91" t="s">
        <v>144</v>
      </c>
      <c r="K28" s="217"/>
      <c r="L28" s="213"/>
    </row>
    <row r="29" spans="2:12" x14ac:dyDescent="0.25">
      <c r="B29" s="84" t="s">
        <v>75</v>
      </c>
      <c r="C29" s="295" t="s">
        <v>143</v>
      </c>
      <c r="D29" s="296"/>
      <c r="E29" s="296"/>
      <c r="F29" s="296"/>
      <c r="G29" s="297"/>
      <c r="H29" s="100" t="s">
        <v>145</v>
      </c>
      <c r="I29" s="90">
        <v>44561</v>
      </c>
      <c r="J29" s="92" t="s">
        <v>146</v>
      </c>
      <c r="K29" s="217"/>
      <c r="L29" s="213"/>
    </row>
    <row r="30" spans="2:12" ht="14.45" customHeight="1" x14ac:dyDescent="0.25">
      <c r="B30" s="84" t="s">
        <v>78</v>
      </c>
      <c r="C30" s="349" t="s">
        <v>147</v>
      </c>
      <c r="D30" s="350"/>
      <c r="E30" s="350"/>
      <c r="F30" s="350"/>
      <c r="G30" s="351"/>
      <c r="H30" s="100" t="s">
        <v>148</v>
      </c>
      <c r="I30" s="90">
        <v>44561</v>
      </c>
      <c r="J30" s="92" t="s">
        <v>77</v>
      </c>
      <c r="K30" s="217"/>
      <c r="L30" s="213"/>
    </row>
    <row r="31" spans="2:12" ht="14.45" customHeight="1" x14ac:dyDescent="0.25">
      <c r="B31" s="84" t="s">
        <v>149</v>
      </c>
      <c r="C31" s="339" t="s">
        <v>150</v>
      </c>
      <c r="D31" s="299"/>
      <c r="E31" s="299"/>
      <c r="F31" s="299"/>
      <c r="G31" s="340"/>
      <c r="H31" s="100" t="s">
        <v>151</v>
      </c>
      <c r="I31" s="90">
        <v>44561</v>
      </c>
      <c r="J31" s="92" t="s">
        <v>152</v>
      </c>
      <c r="K31" s="217"/>
      <c r="L31" s="213"/>
    </row>
    <row r="32" spans="2:12" ht="28.5" customHeight="1" x14ac:dyDescent="0.25">
      <c r="B32" s="97" t="s">
        <v>153</v>
      </c>
      <c r="C32" s="314" t="s">
        <v>154</v>
      </c>
      <c r="D32" s="315"/>
      <c r="E32" s="315"/>
      <c r="F32" s="315"/>
      <c r="G32" s="341"/>
      <c r="H32" s="101" t="s">
        <v>145</v>
      </c>
      <c r="I32" s="98">
        <v>44537</v>
      </c>
      <c r="J32" s="99" t="s">
        <v>155</v>
      </c>
      <c r="K32" s="217"/>
      <c r="L32" s="213"/>
    </row>
    <row r="33" spans="2:12" s="13" customFormat="1" ht="30" customHeight="1" x14ac:dyDescent="0.25">
      <c r="B33" s="79" t="s">
        <v>156</v>
      </c>
      <c r="C33" s="342" t="s">
        <v>157</v>
      </c>
      <c r="D33" s="343"/>
      <c r="E33" s="343"/>
      <c r="F33" s="343"/>
      <c r="G33" s="344"/>
      <c r="H33" s="82" t="s">
        <v>158</v>
      </c>
      <c r="I33" s="98">
        <v>44561</v>
      </c>
      <c r="J33" s="85" t="s">
        <v>159</v>
      </c>
      <c r="K33" s="217"/>
      <c r="L33" s="213"/>
    </row>
    <row r="34" spans="2:12" ht="27.75" customHeight="1" x14ac:dyDescent="0.25">
      <c r="B34" s="157" t="s">
        <v>175</v>
      </c>
      <c r="C34" s="295" t="s">
        <v>56</v>
      </c>
      <c r="D34" s="296"/>
      <c r="E34" s="296"/>
      <c r="F34" s="296"/>
      <c r="G34" s="297"/>
      <c r="H34" s="82" t="s">
        <v>57</v>
      </c>
      <c r="I34" s="98">
        <v>44613</v>
      </c>
      <c r="J34" s="92" t="s">
        <v>58</v>
      </c>
      <c r="K34" s="217" t="s">
        <v>160</v>
      </c>
      <c r="L34" s="213"/>
    </row>
    <row r="35" spans="2:12" ht="14.45" customHeight="1" x14ac:dyDescent="0.25">
      <c r="B35" s="157" t="s">
        <v>176</v>
      </c>
      <c r="C35" s="295" t="s">
        <v>60</v>
      </c>
      <c r="D35" s="296"/>
      <c r="E35" s="296"/>
      <c r="F35" s="296"/>
      <c r="G35" s="297"/>
      <c r="H35" s="82" t="s">
        <v>61</v>
      </c>
      <c r="I35" s="98">
        <v>44615</v>
      </c>
      <c r="J35" s="92" t="s">
        <v>45</v>
      </c>
      <c r="K35" s="217" t="s">
        <v>160</v>
      </c>
      <c r="L35" s="213"/>
    </row>
    <row r="36" spans="2:12" ht="15" customHeight="1" x14ac:dyDescent="0.25">
      <c r="B36" s="157" t="s">
        <v>177</v>
      </c>
      <c r="C36" s="295" t="s">
        <v>63</v>
      </c>
      <c r="D36" s="296"/>
      <c r="E36" s="296"/>
      <c r="F36" s="296"/>
      <c r="G36" s="297"/>
      <c r="H36" s="82" t="s">
        <v>64</v>
      </c>
      <c r="I36" s="98">
        <v>44604</v>
      </c>
      <c r="J36" s="92" t="s">
        <v>65</v>
      </c>
      <c r="K36" s="217" t="s">
        <v>160</v>
      </c>
      <c r="L36" s="213"/>
    </row>
    <row r="37" spans="2:12" ht="14.45" customHeight="1" x14ac:dyDescent="0.25">
      <c r="B37" s="157" t="s">
        <v>178</v>
      </c>
      <c r="C37" s="295" t="s">
        <v>68</v>
      </c>
      <c r="D37" s="296"/>
      <c r="E37" s="296"/>
      <c r="F37" s="296"/>
      <c r="G37" s="297"/>
      <c r="H37" s="82" t="s">
        <v>69</v>
      </c>
      <c r="I37" s="98">
        <v>44594</v>
      </c>
      <c r="J37" s="92" t="s">
        <v>58</v>
      </c>
      <c r="K37" s="217" t="s">
        <v>160</v>
      </c>
      <c r="L37" s="213"/>
    </row>
    <row r="38" spans="2:12" ht="14.45" customHeight="1" x14ac:dyDescent="0.25">
      <c r="B38" s="157" t="s">
        <v>179</v>
      </c>
      <c r="C38" s="295" t="s">
        <v>72</v>
      </c>
      <c r="D38" s="296"/>
      <c r="E38" s="296"/>
      <c r="F38" s="296"/>
      <c r="G38" s="297"/>
      <c r="H38" s="82" t="s">
        <v>161</v>
      </c>
      <c r="I38" s="98">
        <v>44619</v>
      </c>
      <c r="J38" s="92" t="s">
        <v>73</v>
      </c>
      <c r="K38" s="217">
        <v>44562</v>
      </c>
      <c r="L38" s="213"/>
    </row>
    <row r="39" spans="2:12" ht="14.45" customHeight="1" x14ac:dyDescent="0.25">
      <c r="B39" s="157" t="s">
        <v>180</v>
      </c>
      <c r="C39" s="346" t="s">
        <v>76</v>
      </c>
      <c r="D39" s="347"/>
      <c r="E39" s="347"/>
      <c r="F39" s="347"/>
      <c r="G39" s="348"/>
      <c r="H39" s="152" t="s">
        <v>162</v>
      </c>
      <c r="I39" s="98">
        <v>44620</v>
      </c>
      <c r="J39" s="92" t="s">
        <v>77</v>
      </c>
      <c r="K39" s="217">
        <v>44562</v>
      </c>
      <c r="L39" s="213"/>
    </row>
    <row r="40" spans="2:12" ht="24.95" customHeight="1" x14ac:dyDescent="0.25">
      <c r="B40" s="78" t="s">
        <v>186</v>
      </c>
      <c r="C40" s="158" t="s">
        <v>163</v>
      </c>
      <c r="D40" s="159"/>
      <c r="E40" s="159"/>
      <c r="F40" s="159"/>
      <c r="G40" s="160"/>
      <c r="H40" s="161" t="s">
        <v>181</v>
      </c>
      <c r="I40" s="162">
        <v>44670</v>
      </c>
      <c r="J40" s="163" t="s">
        <v>165</v>
      </c>
      <c r="K40" s="217">
        <v>44652</v>
      </c>
      <c r="L40" s="213"/>
    </row>
    <row r="41" spans="2:12" x14ac:dyDescent="0.25">
      <c r="B41" s="77" t="s">
        <v>187</v>
      </c>
      <c r="C41" s="295" t="s">
        <v>164</v>
      </c>
      <c r="D41" s="296"/>
      <c r="E41" s="296"/>
      <c r="F41" s="296"/>
      <c r="G41" s="297"/>
      <c r="H41" s="82" t="s">
        <v>182</v>
      </c>
      <c r="I41" s="98">
        <v>44672</v>
      </c>
      <c r="J41" s="92" t="s">
        <v>166</v>
      </c>
      <c r="K41" s="217">
        <v>44652</v>
      </c>
      <c r="L41" s="213"/>
    </row>
    <row r="42" spans="2:12" x14ac:dyDescent="0.25">
      <c r="B42" s="78" t="s">
        <v>188</v>
      </c>
      <c r="C42" s="295" t="s">
        <v>183</v>
      </c>
      <c r="D42" s="296"/>
      <c r="E42" s="296"/>
      <c r="F42" s="296"/>
      <c r="G42" s="297"/>
      <c r="H42" s="82" t="s">
        <v>184</v>
      </c>
      <c r="I42" s="98">
        <v>44679</v>
      </c>
      <c r="J42" s="92" t="s">
        <v>167</v>
      </c>
      <c r="K42" s="217">
        <v>44652</v>
      </c>
      <c r="L42" s="213"/>
    </row>
    <row r="43" spans="2:12" x14ac:dyDescent="0.25">
      <c r="B43" s="78" t="s">
        <v>189</v>
      </c>
      <c r="C43" s="295" t="s">
        <v>47</v>
      </c>
      <c r="D43" s="296"/>
      <c r="E43" s="296"/>
      <c r="F43" s="296"/>
      <c r="G43" s="297"/>
      <c r="H43" s="82" t="s">
        <v>185</v>
      </c>
      <c r="I43" s="98">
        <v>44742</v>
      </c>
      <c r="J43" s="92" t="s">
        <v>49</v>
      </c>
      <c r="K43" s="217">
        <v>44683</v>
      </c>
      <c r="L43" s="213"/>
    </row>
    <row r="44" spans="2:12" ht="15" customHeight="1" x14ac:dyDescent="0.25">
      <c r="B44" s="166">
        <v>21</v>
      </c>
      <c r="C44" s="295" t="s">
        <v>201</v>
      </c>
      <c r="D44" s="296"/>
      <c r="E44" s="296"/>
      <c r="F44" s="296"/>
      <c r="G44" s="297"/>
      <c r="H44" s="82"/>
      <c r="I44" s="98"/>
      <c r="J44" s="92" t="s">
        <v>167</v>
      </c>
      <c r="K44" s="217">
        <v>44714</v>
      </c>
      <c r="L44" s="213"/>
    </row>
    <row r="45" spans="2:12" ht="15" customHeight="1" x14ac:dyDescent="0.25">
      <c r="B45" s="166">
        <v>22</v>
      </c>
      <c r="C45" s="295" t="s">
        <v>200</v>
      </c>
      <c r="D45" s="296"/>
      <c r="E45" s="296"/>
      <c r="F45" s="296"/>
      <c r="G45" s="297"/>
      <c r="H45" s="82" t="s">
        <v>205</v>
      </c>
      <c r="I45" s="98">
        <v>44772</v>
      </c>
      <c r="J45" s="92" t="s">
        <v>168</v>
      </c>
      <c r="K45" s="217">
        <v>44714</v>
      </c>
      <c r="L45" s="213"/>
    </row>
    <row r="46" spans="2:12" ht="15" customHeight="1" x14ac:dyDescent="0.25">
      <c r="B46" s="166">
        <v>23</v>
      </c>
      <c r="C46" s="295" t="s">
        <v>172</v>
      </c>
      <c r="D46" s="296"/>
      <c r="E46" s="296"/>
      <c r="F46" s="296"/>
      <c r="G46" s="297"/>
      <c r="H46" s="82" t="s">
        <v>206</v>
      </c>
      <c r="I46" s="98">
        <v>44772</v>
      </c>
      <c r="J46" s="92" t="s">
        <v>58</v>
      </c>
      <c r="K46" s="217">
        <v>44714</v>
      </c>
      <c r="L46" s="213"/>
    </row>
    <row r="47" spans="2:12" ht="15" customHeight="1" x14ac:dyDescent="0.25">
      <c r="B47" s="166">
        <v>24</v>
      </c>
      <c r="C47" s="295" t="s">
        <v>173</v>
      </c>
      <c r="D47" s="296"/>
      <c r="E47" s="296"/>
      <c r="F47" s="296"/>
      <c r="G47" s="297"/>
      <c r="H47" s="82" t="s">
        <v>207</v>
      </c>
      <c r="I47" s="98">
        <v>44772</v>
      </c>
      <c r="J47" s="92" t="s">
        <v>208</v>
      </c>
      <c r="K47" s="217">
        <v>44714</v>
      </c>
      <c r="L47" s="218"/>
    </row>
    <row r="48" spans="2:12" ht="15" customHeight="1" x14ac:dyDescent="0.25">
      <c r="B48" s="166">
        <v>25</v>
      </c>
      <c r="C48" s="295" t="s">
        <v>174</v>
      </c>
      <c r="D48" s="296"/>
      <c r="E48" s="296"/>
      <c r="F48" s="296"/>
      <c r="G48" s="297"/>
      <c r="H48" s="82" t="s">
        <v>209</v>
      </c>
      <c r="I48" s="98">
        <v>44772</v>
      </c>
      <c r="J48" s="92" t="s">
        <v>167</v>
      </c>
      <c r="K48" s="217">
        <v>44714</v>
      </c>
      <c r="L48" s="218"/>
    </row>
    <row r="49" spans="2:12" ht="15" customHeight="1" x14ac:dyDescent="0.25">
      <c r="B49" s="166">
        <v>26</v>
      </c>
      <c r="C49" s="295" t="s">
        <v>221</v>
      </c>
      <c r="D49" s="296"/>
      <c r="E49" s="296"/>
      <c r="F49" s="296"/>
      <c r="G49" s="297"/>
      <c r="H49" s="82" t="s">
        <v>222</v>
      </c>
      <c r="I49" s="98">
        <v>44772</v>
      </c>
      <c r="J49" s="92" t="s">
        <v>168</v>
      </c>
      <c r="K49" s="217">
        <v>44714</v>
      </c>
      <c r="L49" s="218"/>
    </row>
    <row r="50" spans="2:12" x14ac:dyDescent="0.25">
      <c r="B50" s="166">
        <v>27</v>
      </c>
      <c r="C50" s="295" t="s">
        <v>223</v>
      </c>
      <c r="D50" s="296"/>
      <c r="E50" s="296"/>
      <c r="F50" s="296"/>
      <c r="G50" s="297"/>
      <c r="H50" s="82" t="s">
        <v>204</v>
      </c>
      <c r="I50" s="98">
        <v>44772</v>
      </c>
      <c r="J50" s="92" t="s">
        <v>224</v>
      </c>
      <c r="K50" s="217">
        <v>44714</v>
      </c>
      <c r="L50" s="213"/>
    </row>
    <row r="51" spans="2:12" ht="15" customHeight="1" x14ac:dyDescent="0.25">
      <c r="B51" s="166">
        <v>28</v>
      </c>
      <c r="C51" s="295" t="s">
        <v>226</v>
      </c>
      <c r="D51" s="296"/>
      <c r="E51" s="296"/>
      <c r="F51" s="296"/>
      <c r="G51" s="297"/>
      <c r="H51" s="82" t="s">
        <v>202</v>
      </c>
      <c r="I51" s="98">
        <v>44803</v>
      </c>
      <c r="J51" s="92" t="s">
        <v>45</v>
      </c>
      <c r="K51" s="217">
        <v>44775</v>
      </c>
      <c r="L51" s="213"/>
    </row>
    <row r="52" spans="2:12" ht="15" customHeight="1" x14ac:dyDescent="0.25">
      <c r="B52" s="166">
        <v>29</v>
      </c>
      <c r="C52" s="295" t="s">
        <v>203</v>
      </c>
      <c r="D52" s="296"/>
      <c r="E52" s="296"/>
      <c r="F52" s="296"/>
      <c r="G52" s="297"/>
      <c r="H52" s="82" t="s">
        <v>204</v>
      </c>
      <c r="I52" s="98">
        <v>44803</v>
      </c>
      <c r="J52" s="92" t="s">
        <v>58</v>
      </c>
      <c r="K52" s="217">
        <v>44775</v>
      </c>
      <c r="L52" s="213"/>
    </row>
    <row r="53" spans="2:12" ht="15" customHeight="1" x14ac:dyDescent="0.25">
      <c r="B53" s="166">
        <v>30</v>
      </c>
      <c r="C53" s="295" t="s">
        <v>257</v>
      </c>
      <c r="D53" s="296"/>
      <c r="E53" s="296"/>
      <c r="F53" s="296"/>
      <c r="G53" s="297"/>
      <c r="H53" s="82" t="s">
        <v>264</v>
      </c>
      <c r="I53" s="98">
        <v>44864</v>
      </c>
      <c r="J53" s="92" t="s">
        <v>260</v>
      </c>
      <c r="K53" s="217">
        <v>44864</v>
      </c>
      <c r="L53" s="213"/>
    </row>
    <row r="54" spans="2:12" ht="15" customHeight="1" x14ac:dyDescent="0.25">
      <c r="B54" s="166">
        <v>31</v>
      </c>
      <c r="C54" s="295" t="s">
        <v>258</v>
      </c>
      <c r="D54" s="296"/>
      <c r="E54" s="296"/>
      <c r="F54" s="296"/>
      <c r="G54" s="297"/>
      <c r="H54" s="82" t="s">
        <v>265</v>
      </c>
      <c r="I54" s="98">
        <v>44864</v>
      </c>
      <c r="J54" s="92" t="s">
        <v>216</v>
      </c>
      <c r="K54" s="217">
        <v>44864</v>
      </c>
      <c r="L54" s="213"/>
    </row>
    <row r="55" spans="2:12" ht="25.5" customHeight="1" x14ac:dyDescent="0.25">
      <c r="B55" s="166">
        <v>32</v>
      </c>
      <c r="C55" s="310" t="s">
        <v>274</v>
      </c>
      <c r="D55" s="311"/>
      <c r="E55" s="311"/>
      <c r="F55" s="311"/>
      <c r="G55" s="312"/>
      <c r="H55" s="196" t="s">
        <v>267</v>
      </c>
      <c r="I55" s="162">
        <v>44817</v>
      </c>
      <c r="J55" s="163" t="s">
        <v>7</v>
      </c>
      <c r="K55" s="217">
        <v>44834</v>
      </c>
      <c r="L55" s="213"/>
    </row>
    <row r="56" spans="2:12" ht="26.25" customHeight="1" x14ac:dyDescent="0.25">
      <c r="B56" s="166">
        <v>33</v>
      </c>
      <c r="C56" s="295" t="s">
        <v>272</v>
      </c>
      <c r="D56" s="296"/>
      <c r="E56" s="296"/>
      <c r="F56" s="296"/>
      <c r="G56" s="297"/>
      <c r="H56" s="174" t="s">
        <v>273</v>
      </c>
      <c r="I56" s="171">
        <v>44926</v>
      </c>
      <c r="J56" s="197" t="s">
        <v>270</v>
      </c>
      <c r="K56" s="217">
        <v>44895</v>
      </c>
      <c r="L56" s="213"/>
    </row>
    <row r="57" spans="2:12" ht="15" customHeight="1" x14ac:dyDescent="0.25">
      <c r="B57" s="166">
        <v>34</v>
      </c>
      <c r="C57" s="298" t="s">
        <v>225</v>
      </c>
      <c r="D57" s="299"/>
      <c r="E57" s="299"/>
      <c r="F57" s="299"/>
      <c r="G57" s="300"/>
      <c r="H57" s="179" t="s">
        <v>276</v>
      </c>
      <c r="I57" s="171">
        <v>44926</v>
      </c>
      <c r="J57" s="85" t="s">
        <v>275</v>
      </c>
      <c r="K57" s="217">
        <v>44895</v>
      </c>
      <c r="L57" s="213"/>
    </row>
    <row r="58" spans="2:12" x14ac:dyDescent="0.25">
      <c r="B58" s="166">
        <v>35</v>
      </c>
      <c r="C58" s="301" t="s">
        <v>211</v>
      </c>
      <c r="D58" s="302"/>
      <c r="E58" s="302"/>
      <c r="F58" s="302"/>
      <c r="G58" s="303"/>
      <c r="H58" s="172" t="s">
        <v>277</v>
      </c>
      <c r="I58" s="171">
        <v>44864</v>
      </c>
      <c r="J58" s="85" t="s">
        <v>227</v>
      </c>
      <c r="K58" s="217">
        <v>44895</v>
      </c>
      <c r="L58" s="213"/>
    </row>
    <row r="59" spans="2:12" x14ac:dyDescent="0.25">
      <c r="B59" s="166">
        <v>36</v>
      </c>
      <c r="C59" s="304" t="s">
        <v>254</v>
      </c>
      <c r="D59" s="305"/>
      <c r="E59" s="305"/>
      <c r="F59" s="305"/>
      <c r="G59" s="306"/>
      <c r="H59" s="190" t="s">
        <v>266</v>
      </c>
      <c r="I59" s="200">
        <v>44926</v>
      </c>
      <c r="J59" s="192" t="s">
        <v>168</v>
      </c>
      <c r="K59" s="217">
        <v>44957</v>
      </c>
      <c r="L59" s="213"/>
    </row>
    <row r="60" spans="2:12" ht="37.5" customHeight="1" x14ac:dyDescent="0.25">
      <c r="B60" s="166">
        <v>37</v>
      </c>
      <c r="C60" s="307" t="s">
        <v>262</v>
      </c>
      <c r="D60" s="308"/>
      <c r="E60" s="308"/>
      <c r="F60" s="308"/>
      <c r="G60" s="309"/>
      <c r="H60" s="205" t="s">
        <v>282</v>
      </c>
      <c r="I60" s="206">
        <v>44926</v>
      </c>
      <c r="J60" s="207" t="s">
        <v>269</v>
      </c>
      <c r="K60" s="217">
        <v>44957</v>
      </c>
      <c r="L60" s="213"/>
    </row>
    <row r="61" spans="2:12" ht="27.75" customHeight="1" x14ac:dyDescent="0.25">
      <c r="B61" s="166">
        <v>38</v>
      </c>
      <c r="C61" s="289" t="s">
        <v>256</v>
      </c>
      <c r="D61" s="290"/>
      <c r="E61" s="290"/>
      <c r="F61" s="290"/>
      <c r="G61" s="291"/>
      <c r="H61" s="190" t="s">
        <v>268</v>
      </c>
      <c r="I61" s="200">
        <v>44926</v>
      </c>
      <c r="J61" s="192" t="s">
        <v>259</v>
      </c>
      <c r="K61" s="217">
        <v>44926</v>
      </c>
      <c r="L61" s="213"/>
    </row>
    <row r="62" spans="2:12" x14ac:dyDescent="0.25">
      <c r="B62" s="166">
        <v>39</v>
      </c>
      <c r="C62" s="292" t="s">
        <v>272</v>
      </c>
      <c r="D62" s="293"/>
      <c r="E62" s="293"/>
      <c r="F62" s="293"/>
      <c r="G62" s="294"/>
      <c r="H62" s="198" t="s">
        <v>289</v>
      </c>
      <c r="I62" s="200">
        <v>44926</v>
      </c>
      <c r="J62" s="199" t="s">
        <v>144</v>
      </c>
      <c r="K62" s="217" t="s">
        <v>298</v>
      </c>
      <c r="L62" s="213"/>
    </row>
    <row r="63" spans="2:12" x14ac:dyDescent="0.25">
      <c r="B63" s="166">
        <v>40</v>
      </c>
      <c r="C63" s="295" t="s">
        <v>321</v>
      </c>
      <c r="D63" s="296"/>
      <c r="E63" s="296"/>
      <c r="F63" s="296"/>
      <c r="G63" s="297"/>
      <c r="H63" s="198" t="s">
        <v>315</v>
      </c>
      <c r="I63" s="200">
        <v>45016</v>
      </c>
      <c r="J63" s="207" t="s">
        <v>269</v>
      </c>
      <c r="K63" s="217">
        <v>44985</v>
      </c>
      <c r="L63" s="213" t="s">
        <v>295</v>
      </c>
    </row>
    <row r="64" spans="2:12" x14ac:dyDescent="0.25">
      <c r="B64" s="166">
        <v>41</v>
      </c>
      <c r="C64" s="295" t="s">
        <v>296</v>
      </c>
      <c r="D64" s="296"/>
      <c r="E64" s="296"/>
      <c r="F64" s="296"/>
      <c r="G64" s="297"/>
      <c r="H64" s="198" t="s">
        <v>306</v>
      </c>
      <c r="I64" s="200">
        <v>45016</v>
      </c>
      <c r="J64" s="207" t="s">
        <v>292</v>
      </c>
      <c r="K64" s="217">
        <v>44985</v>
      </c>
      <c r="L64" s="214" t="s">
        <v>294</v>
      </c>
    </row>
    <row r="65" spans="2:12" x14ac:dyDescent="0.25">
      <c r="B65" s="166">
        <v>42</v>
      </c>
      <c r="C65" s="295" t="s">
        <v>271</v>
      </c>
      <c r="D65" s="296"/>
      <c r="E65" s="296"/>
      <c r="F65" s="296"/>
      <c r="G65" s="297"/>
      <c r="H65" s="198" t="s">
        <v>315</v>
      </c>
      <c r="I65" s="200">
        <v>45016</v>
      </c>
      <c r="J65" s="207" t="s">
        <v>292</v>
      </c>
      <c r="K65" s="217">
        <v>44985</v>
      </c>
      <c r="L65" s="213"/>
    </row>
  </sheetData>
  <mergeCells count="60">
    <mergeCell ref="C64:G64"/>
    <mergeCell ref="C65:G65"/>
    <mergeCell ref="L22:L23"/>
    <mergeCell ref="C38:G38"/>
    <mergeCell ref="C39:G39"/>
    <mergeCell ref="C36:G36"/>
    <mergeCell ref="C37:G37"/>
    <mergeCell ref="C49:G49"/>
    <mergeCell ref="C44:G44"/>
    <mergeCell ref="C45:G45"/>
    <mergeCell ref="C46:G46"/>
    <mergeCell ref="C47:G47"/>
    <mergeCell ref="C48:G48"/>
    <mergeCell ref="C29:G29"/>
    <mergeCell ref="C30:G30"/>
    <mergeCell ref="C31:G31"/>
    <mergeCell ref="H22:H23"/>
    <mergeCell ref="I22:I23"/>
    <mergeCell ref="C24:G24"/>
    <mergeCell ref="C34:G34"/>
    <mergeCell ref="C35:G35"/>
    <mergeCell ref="C32:G32"/>
    <mergeCell ref="C33:G33"/>
    <mergeCell ref="C28:G28"/>
    <mergeCell ref="K22:K23"/>
    <mergeCell ref="A2:J2"/>
    <mergeCell ref="C9:G9"/>
    <mergeCell ref="C10:G10"/>
    <mergeCell ref="C18:G18"/>
    <mergeCell ref="J22:J23"/>
    <mergeCell ref="B5:J5"/>
    <mergeCell ref="B6:G6"/>
    <mergeCell ref="C7:G7"/>
    <mergeCell ref="C8:G8"/>
    <mergeCell ref="C11:G11"/>
    <mergeCell ref="C12:G12"/>
    <mergeCell ref="C13:G13"/>
    <mergeCell ref="C14:G14"/>
    <mergeCell ref="C15:G15"/>
    <mergeCell ref="C17:G17"/>
    <mergeCell ref="C16:G16"/>
    <mergeCell ref="C53:G53"/>
    <mergeCell ref="C54:G54"/>
    <mergeCell ref="C41:G41"/>
    <mergeCell ref="C42:G42"/>
    <mergeCell ref="C25:G25"/>
    <mergeCell ref="B22:G23"/>
    <mergeCell ref="C55:G55"/>
    <mergeCell ref="C51:G51"/>
    <mergeCell ref="C52:G52"/>
    <mergeCell ref="C43:G43"/>
    <mergeCell ref="C50:G50"/>
    <mergeCell ref="C61:G61"/>
    <mergeCell ref="C62:G62"/>
    <mergeCell ref="C63:G63"/>
    <mergeCell ref="C56:G56"/>
    <mergeCell ref="C57:G57"/>
    <mergeCell ref="C58:G58"/>
    <mergeCell ref="C59:G59"/>
    <mergeCell ref="C60:G60"/>
  </mergeCells>
  <phoneticPr fontId="30" type="noConversion"/>
  <pageMargins left="0.7" right="0.7" top="0.75" bottom="0.75" header="0.3" footer="0.3"/>
  <pageSetup paperSize="9" orientation="portrait" r:id="rId1"/>
  <headerFooter>
    <oddFooter>&amp;L&amp;1#&amp;"Arial"&amp;10&amp;K000000[Internal]</oddFooter>
  </headerFooter>
  <customProperties>
    <customPr name="Ibp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DCC5D3337B944E825EB81284BD4E92" ma:contentTypeVersion="0" ma:contentTypeDescription="Create a new document." ma:contentTypeScope="" ma:versionID="716a42c34a75cbc1d7e8cb3a0749342d">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14FC3E8-9235-45EC-888D-0F6EEDC52C4E}">
  <ds:schemaRefs>
    <ds:schemaRef ds:uri="http://schemas.microsoft.com/sharepoint/v3/contenttype/forms"/>
  </ds:schemaRefs>
</ds:datastoreItem>
</file>

<file path=customXml/itemProps2.xml><?xml version="1.0" encoding="utf-8"?>
<ds:datastoreItem xmlns:ds="http://schemas.openxmlformats.org/officeDocument/2006/customXml" ds:itemID="{B7E6C750-D5CF-43F4-B734-29FDD1D1E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59944363-D423-43C9-84E0-EC86919CCD7F}">
  <ds:schemaRefs>
    <ds:schemaRef ds:uri="http://purl.org/dc/dcmitype/"/>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Summary</vt:lpstr>
      <vt:lpstr>History</vt:lpstr>
      <vt:lpstr>Data</vt:lpstr>
      <vt:lpstr>Information</vt:lpstr>
      <vt:lpstr>Corrective Actions</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5.8.01_IT-KPI No. of Major Incidents_Feb22_IoS</dc:title>
  <dc:subject/>
  <dc:creator>Apache POI</dc:creator>
  <cp:keywords/>
  <dc:description/>
  <cp:lastModifiedBy>youssef, amine</cp:lastModifiedBy>
  <cp:revision/>
  <cp:lastPrinted>2022-10-04T12:43:36Z</cp:lastPrinted>
  <dcterms:created xsi:type="dcterms:W3CDTF">2021-04-19T21:42:21Z</dcterms:created>
  <dcterms:modified xsi:type="dcterms:W3CDTF">2023-05-23T14:46:44Z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0x0101006EDCC5D3337B944E825EB81284BD4E92</vt:lpwstr>
  </property>
  <property fmtid="{D5CDD505-2E9C-101B-9397-08002B2CF9AE}" pid="3" name="Order">
    <vt:r8>625900</vt:r8>
  </property>
  <property fmtid="{D5CDD505-2E9C-101B-9397-08002B2CF9AE}" pid="4" name="_CopySource">
    <vt:lpwstr>https://sp-de-prod.leoni.local/teams/IM-IT_WPSI/IT-OP/Shared Documents/06. Processes/07. KPI Definition/Inc-01-Number Of Major Incidents/2022/Inc-01-Number Of Major Incidents-03-Mar.xlsx</vt:lpwstr>
  </property>
  <property fmtid="{D5CDD505-2E9C-101B-9397-08002B2CF9AE}" pid="5" name="xd_ProgID">
    <vt:lpwstr/>
  </property>
  <property fmtid="{D5CDD505-2E9C-101B-9397-08002B2CF9AE}" pid="6" name="TemplateUrl">
    <vt:lpwstr/>
  </property>
  <property fmtid="{D5CDD505-2E9C-101B-9397-08002B2CF9AE}" pid="7" name="MSIP_Label_43c1c031-4620-46ba-8d17-94284d681a00_Enabled">
    <vt:lpwstr>true</vt:lpwstr>
  </property>
  <property fmtid="{D5CDD505-2E9C-101B-9397-08002B2CF9AE}" pid="8" name="MSIP_Label_43c1c031-4620-46ba-8d17-94284d681a00_SetDate">
    <vt:lpwstr>2023-01-16T10:14:14Z</vt:lpwstr>
  </property>
  <property fmtid="{D5CDD505-2E9C-101B-9397-08002B2CF9AE}" pid="9" name="MSIP_Label_43c1c031-4620-46ba-8d17-94284d681a00_Method">
    <vt:lpwstr>Privileged</vt:lpwstr>
  </property>
  <property fmtid="{D5CDD505-2E9C-101B-9397-08002B2CF9AE}" pid="10" name="MSIP_Label_43c1c031-4620-46ba-8d17-94284d681a00_Name">
    <vt:lpwstr>43c1c031-4620-46ba-8d17-94284d681a00</vt:lpwstr>
  </property>
  <property fmtid="{D5CDD505-2E9C-101B-9397-08002B2CF9AE}" pid="11" name="MSIP_Label_43c1c031-4620-46ba-8d17-94284d681a00_SiteId">
    <vt:lpwstr>601e50db-f61c-4594-8e2e-260c58d3cfa1</vt:lpwstr>
  </property>
  <property fmtid="{D5CDD505-2E9C-101B-9397-08002B2CF9AE}" pid="12" name="MSIP_Label_43c1c031-4620-46ba-8d17-94284d681a00_ActionId">
    <vt:lpwstr>0ff4a2d1-1c8a-4ca6-9721-c41dd2c73e50</vt:lpwstr>
  </property>
  <property fmtid="{D5CDD505-2E9C-101B-9397-08002B2CF9AE}" pid="13" name="MSIP_Label_43c1c031-4620-46ba-8d17-94284d681a00_ContentBits">
    <vt:lpwstr>2</vt:lpwstr>
  </property>
</Properties>
</file>